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ichier TMP\Nouveau dossier\pf\BL-FA\0-DOC\Nouveau dossier\"/>
    </mc:Choice>
  </mc:AlternateContent>
  <xr:revisionPtr revIDLastSave="0" documentId="13_ncr:1_{143B0B05-5AC5-476F-9DC7-CBFFA659A5BF}" xr6:coauthVersionLast="47" xr6:coauthVersionMax="47" xr10:uidLastSave="{00000000-0000-0000-0000-000000000000}"/>
  <bookViews>
    <workbookView xWindow="-120" yWindow="-120" windowWidth="20730" windowHeight="11160" xr2:uid="{B0DAC0F5-6882-4443-B6D7-8631BC77ADE3}"/>
  </bookViews>
  <sheets>
    <sheet name="base de données client" sheetId="3" r:id="rId1"/>
    <sheet name="base de données article" sheetId="4" r:id="rId2"/>
    <sheet name="proforma" sheetId="1" r:id="rId3"/>
    <sheet name="facture" sheetId="2" r:id="rId4"/>
  </sheets>
  <externalReferences>
    <externalReference r:id="rId5"/>
    <externalReference r:id="rId6"/>
  </externalReferences>
  <definedNames>
    <definedName name="liste" localSheetId="3">#REF!</definedName>
    <definedName name="liste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2" l="1"/>
  <c r="K38" i="2" s="1"/>
  <c r="K40" i="2" s="1"/>
  <c r="K41" i="2" l="1"/>
  <c r="K43" i="2" s="1"/>
  <c r="M18" i="1" l="1"/>
  <c r="N16" i="1"/>
  <c r="O16" i="1" s="1"/>
  <c r="P16" i="1" s="1"/>
  <c r="L16" i="1"/>
  <c r="K28" i="1" s="1"/>
  <c r="K30" i="1" s="1"/>
  <c r="G13" i="1"/>
  <c r="K31" i="1" l="1"/>
  <c r="K33" i="1" s="1"/>
</calcChain>
</file>

<file path=xl/sharedStrings.xml><?xml version="1.0" encoding="utf-8"?>
<sst xmlns="http://schemas.openxmlformats.org/spreadsheetml/2006/main" count="260" uniqueCount="185">
  <si>
    <t>PROFORMA</t>
  </si>
  <si>
    <t>MA-ERI Consulting</t>
  </si>
  <si>
    <t>PF N°</t>
  </si>
  <si>
    <t>MA-ERI_250-26</t>
  </si>
  <si>
    <t>Lot Z 0750 Ambodisaina Ivondro
Toamasina 501 - MADAGASCAR
TEL:  +261 32 07 079 97
         +261 34 06 002 70
contact-maeri@telma.net
maeri.consulting.2024@gmail.com
NIF : 4012745546
STAT : 68101 31 2024 0 00325
RCS Toamasina 2024 A 00087
CIF:0120073/DGI-M du 11/04/25</t>
  </si>
  <si>
    <t>Date</t>
  </si>
  <si>
    <r>
      <rPr>
        <b/>
        <sz val="12"/>
        <color theme="1"/>
        <rFont val="Arial"/>
        <family val="2"/>
      </rPr>
      <t xml:space="preserve">CCIS
</t>
    </r>
    <r>
      <rPr>
        <sz val="11"/>
        <color theme="1"/>
        <rFont val="Calibri"/>
        <family val="2"/>
        <scheme val="minor"/>
      </rPr>
      <t>Betainomby- Fokontany d’Ambodisaina/Tamatave</t>
    </r>
    <r>
      <rPr>
        <b/>
        <sz val="12"/>
        <color theme="1"/>
        <rFont val="Arial"/>
        <family val="2"/>
      </rPr>
      <t xml:space="preserve">
</t>
    </r>
    <r>
      <rPr>
        <b/>
        <sz val="9"/>
        <color theme="1"/>
        <rFont val="Arial"/>
        <family val="2"/>
      </rPr>
      <t>NIF :</t>
    </r>
    <r>
      <rPr>
        <sz val="9"/>
        <color theme="1"/>
        <rFont val="Arial"/>
        <family val="2"/>
      </rPr>
      <t xml:space="preserve"> 
</t>
    </r>
    <r>
      <rPr>
        <b/>
        <sz val="9"/>
        <color theme="1"/>
        <rFont val="Arial"/>
        <family val="2"/>
      </rPr>
      <t>STAT :</t>
    </r>
    <r>
      <rPr>
        <sz val="9"/>
        <color theme="1"/>
        <rFont val="Arial"/>
        <family val="2"/>
      </rPr>
      <t xml:space="preserve"> 
</t>
    </r>
    <r>
      <rPr>
        <b/>
        <sz val="9"/>
        <color theme="1"/>
        <rFont val="Arial"/>
        <family val="2"/>
      </rPr>
      <t>RCS :</t>
    </r>
    <r>
      <rPr>
        <sz val="9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
</t>
    </r>
    <r>
      <rPr>
        <b/>
        <sz val="9"/>
        <color theme="1"/>
        <rFont val="Arial"/>
        <family val="2"/>
      </rPr>
      <t>ATTN:</t>
    </r>
    <r>
      <rPr>
        <sz val="9"/>
        <color theme="1"/>
        <rFont val="Arial"/>
        <family val="2"/>
      </rPr>
      <t xml:space="preserve"> M. Heyris R. / +261 32 11 234 20
</t>
    </r>
    <r>
      <rPr>
        <b/>
        <sz val="9"/>
        <color theme="1"/>
        <rFont val="Arial"/>
        <family val="2"/>
      </rPr>
      <t>E-Mail:</t>
    </r>
    <r>
      <rPr>
        <sz val="9"/>
        <color theme="1"/>
        <rFont val="Arial"/>
        <family val="2"/>
      </rPr>
      <t xml:space="preserve">  </t>
    </r>
    <r>
      <rPr>
        <u/>
        <sz val="9"/>
        <color rgb="FF0070C0"/>
        <rFont val="Arial"/>
        <family val="2"/>
      </rPr>
      <t>tmm.hramanjaka@ccis-network.com</t>
    </r>
  </si>
  <si>
    <t>Code client                     Votre référence                                            Date de validité de l'offre              Terme de paiement                       Monnaie</t>
  </si>
  <si>
    <t>0056</t>
  </si>
  <si>
    <t>WHATSAPP du 24/6/26</t>
  </si>
  <si>
    <t>jour(s)</t>
  </si>
  <si>
    <t>MGA</t>
  </si>
  <si>
    <t>1 USD</t>
  </si>
  <si>
    <t>Designation</t>
  </si>
  <si>
    <t>Qté</t>
  </si>
  <si>
    <t>Unité</t>
  </si>
  <si>
    <t>Prix 
Unitaire</t>
  </si>
  <si>
    <t>Remise 
%</t>
  </si>
  <si>
    <t>TVA</t>
  </si>
  <si>
    <t>Montant net</t>
  </si>
  <si>
    <t>EXW SA</t>
  </si>
  <si>
    <r>
      <t xml:space="preserve">PNEU REF: 1800-25 / 40PR / TUBELESS - Marque HONGLI
</t>
    </r>
    <r>
      <rPr>
        <b/>
        <u/>
        <sz val="8"/>
        <color rgb="FF000000"/>
        <rFont val="Arial"/>
        <family val="2"/>
      </rPr>
      <t>Max loading :</t>
    </r>
    <r>
      <rPr>
        <sz val="8"/>
        <color rgb="FF000000"/>
        <rFont val="Arial"/>
        <family val="2"/>
      </rPr>
      <t xml:space="preserve"> 
***9750kg-50km/h
***17000kg-10km/h
</t>
    </r>
    <r>
      <rPr>
        <b/>
        <u/>
        <sz val="8"/>
        <color rgb="FF000000"/>
        <rFont val="Arial"/>
        <family val="2"/>
      </rPr>
      <t>Pressure :</t>
    </r>
    <r>
      <rPr>
        <sz val="8"/>
        <color rgb="FF000000"/>
        <rFont val="Arial"/>
        <family val="2"/>
      </rPr>
      <t xml:space="preserve">
***700kpa-50km/h
***950kpa-10km/h
</t>
    </r>
    <r>
      <rPr>
        <b/>
        <u/>
        <sz val="8"/>
        <color rgb="FF000000"/>
        <rFont val="Arial"/>
        <family val="2"/>
      </rPr>
      <t>Dimension :</t>
    </r>
    <r>
      <rPr>
        <sz val="8"/>
        <color rgb="FF000000"/>
        <rFont val="Arial"/>
        <family val="2"/>
      </rPr>
      <t xml:space="preserve"> diamètre extérieur 1700mm / largeur 515mm</t>
    </r>
  </si>
  <si>
    <t>PC</t>
  </si>
  <si>
    <r>
      <rPr>
        <b/>
        <sz val="8"/>
        <color theme="1"/>
        <rFont val="Arial"/>
        <family val="2"/>
      </rPr>
      <t xml:space="preserve">Arrêté la présente facture proforma à la somme de : </t>
    </r>
    <r>
      <rPr>
        <sz val="8"/>
        <color theme="1"/>
        <rFont val="Arial"/>
        <family val="2"/>
      </rPr>
      <t xml:space="preserve">***Quarente neuf millions huit cent mille ariary***.
</t>
    </r>
    <r>
      <rPr>
        <b/>
        <sz val="8"/>
        <color theme="1"/>
        <rFont val="Arial"/>
        <family val="2"/>
      </rPr>
      <t>Prix :</t>
    </r>
    <r>
      <rPr>
        <sz val="8"/>
        <color theme="1"/>
        <rFont val="Arial"/>
        <family val="2"/>
      </rPr>
      <t xml:space="preserve"> Livraison à Tamatave
</t>
    </r>
    <r>
      <rPr>
        <b/>
        <sz val="8"/>
        <color theme="1"/>
        <rFont val="Arial"/>
        <family val="2"/>
      </rPr>
      <t xml:space="preserve">Délai de livraison : </t>
    </r>
    <r>
      <rPr>
        <sz val="8"/>
        <color theme="1"/>
        <rFont val="Arial"/>
        <family val="2"/>
      </rPr>
      <t xml:space="preserve">8-9 semaines après confirmation de commande et paiement (le délai pourrait changer suivant des évènements indépendèmment de notre volonté entre autre conditions climatiques, congestion port, guerre, congés fournisseurs, ...)
</t>
    </r>
    <r>
      <rPr>
        <b/>
        <sz val="8"/>
        <color theme="1"/>
        <rFont val="Arial"/>
        <family val="2"/>
      </rPr>
      <t>Condition et mode de paiement</t>
    </r>
    <r>
      <rPr>
        <sz val="8"/>
        <color theme="1"/>
        <rFont val="Arial"/>
        <family val="2"/>
      </rPr>
      <t xml:space="preserve"> : virement bancaire (à l'ordre de MA-ERI CONSULTING)
***75% avec la commande (MGA 37 500 000,00)
***Solde 60 jours date de commande</t>
    </r>
  </si>
  <si>
    <t>Sous-total TTC</t>
  </si>
  <si>
    <t>Remise @ 0.00%</t>
  </si>
  <si>
    <t>Montant net TTC</t>
  </si>
  <si>
    <t>Montant TVA</t>
  </si>
  <si>
    <t>Montant Total TTC</t>
  </si>
  <si>
    <t>Coordonné Bancaire (RIB) : BRED MADAGASIKARA Banque Populaire</t>
  </si>
  <si>
    <t>AVENUE DE L'INDEPENDANCE - TOAMASINA 501-MADAGASCAR</t>
  </si>
  <si>
    <t>00008 00490 05003022604 03</t>
  </si>
  <si>
    <t>Les marchandises restent la propriété de MA-ERI CONSULTING jusqu'à leur paiement intégral.
Tout retard de paiement entraînera l'application d'une pénalité de 8% par mois de retard.</t>
  </si>
  <si>
    <t>FACTURE</t>
  </si>
  <si>
    <t>Facture N°</t>
  </si>
  <si>
    <t>0064-26/LA</t>
  </si>
  <si>
    <r>
      <rPr>
        <b/>
        <sz val="12"/>
        <color theme="1"/>
        <rFont val="Arial"/>
        <family val="2"/>
      </rPr>
      <t xml:space="preserve">COMAMA 
</t>
    </r>
    <r>
      <rPr>
        <sz val="11"/>
        <color theme="1"/>
        <rFont val="Calibri"/>
        <family val="2"/>
        <scheme val="minor"/>
      </rPr>
      <t>Antananarivo</t>
    </r>
    <r>
      <rPr>
        <b/>
        <sz val="12"/>
        <color theme="1"/>
        <rFont val="Arial"/>
        <family val="2"/>
      </rPr>
      <t xml:space="preserve">
</t>
    </r>
    <r>
      <rPr>
        <b/>
        <sz val="9"/>
        <color theme="1"/>
        <rFont val="Arial"/>
        <family val="2"/>
      </rPr>
      <t xml:space="preserve">NIF </t>
    </r>
    <r>
      <rPr>
        <sz val="9"/>
        <color theme="1"/>
        <rFont val="Arial"/>
        <family val="2"/>
      </rPr>
      <t xml:space="preserve">: 3000004742 
</t>
    </r>
    <r>
      <rPr>
        <b/>
        <sz val="9"/>
        <color theme="1"/>
        <rFont val="Arial"/>
        <family val="2"/>
      </rPr>
      <t>STAT :</t>
    </r>
    <r>
      <rPr>
        <sz val="9"/>
        <color theme="1"/>
        <rFont val="Arial"/>
        <family val="2"/>
      </rPr>
      <t xml:space="preserve"> 52242 41 1999 0 00022
</t>
    </r>
    <r>
      <rPr>
        <b/>
        <sz val="9"/>
        <color theme="1"/>
        <rFont val="Arial"/>
        <family val="2"/>
      </rPr>
      <t xml:space="preserve">CIF : </t>
    </r>
    <r>
      <rPr>
        <sz val="9"/>
        <color theme="1"/>
        <rFont val="Arial"/>
        <family val="2"/>
      </rPr>
      <t xml:space="preserve">0092924/DGI-N du 26/05/2026 </t>
    </r>
    <r>
      <rPr>
        <b/>
        <sz val="12"/>
        <color theme="1"/>
        <rFont val="Arial"/>
        <family val="2"/>
      </rPr>
      <t xml:space="preserve">
</t>
    </r>
    <r>
      <rPr>
        <b/>
        <sz val="9"/>
        <color theme="1"/>
        <rFont val="Arial"/>
        <family val="2"/>
      </rPr>
      <t>ATTN:</t>
    </r>
    <r>
      <rPr>
        <sz val="9"/>
        <color theme="1"/>
        <rFont val="Arial"/>
        <family val="2"/>
      </rPr>
      <t xml:space="preserve"> Mr Tojo / +261 34 02 265 41
</t>
    </r>
    <r>
      <rPr>
        <b/>
        <sz val="9"/>
        <color theme="1"/>
        <rFont val="Arial"/>
        <family val="2"/>
      </rPr>
      <t>E-Mail:</t>
    </r>
    <r>
      <rPr>
        <sz val="9"/>
        <color theme="1"/>
        <rFont val="Arial"/>
        <family val="2"/>
      </rPr>
      <t xml:space="preserve"> </t>
    </r>
    <r>
      <rPr>
        <u/>
        <sz val="9"/>
        <color rgb="FF0070C0"/>
        <rFont val="Arial"/>
        <family val="2"/>
      </rPr>
      <t>ctrl.comagroupe@comama.mg</t>
    </r>
  </si>
  <si>
    <t>Code client                     Votre référence                                                        Date de paiement              Terme de paiement                       Monnaie</t>
  </si>
  <si>
    <t>0054</t>
  </si>
  <si>
    <t>BC N° 066-26 du 15/06/26</t>
  </si>
  <si>
    <t>AF</t>
  </si>
  <si>
    <t>CPT</t>
  </si>
  <si>
    <t>D&amp;T</t>
  </si>
  <si>
    <t>O-RING 325T - EARTHMOVER 25 THICK</t>
  </si>
  <si>
    <r>
      <rPr>
        <b/>
        <sz val="8"/>
        <color theme="1"/>
        <rFont val="Arial"/>
        <family val="2"/>
      </rPr>
      <t xml:space="preserve">Arrêté la présente facture à la somme de : </t>
    </r>
    <r>
      <rPr>
        <sz val="8"/>
        <color theme="1"/>
        <rFont val="Arial"/>
        <family val="2"/>
      </rPr>
      <t>***Six cent quatre-vingt mille ariary***.
***</t>
    </r>
    <r>
      <rPr>
        <b/>
        <sz val="8"/>
        <color theme="1"/>
        <rFont val="Arial"/>
        <family val="2"/>
      </rPr>
      <t>Livraison</t>
    </r>
    <r>
      <rPr>
        <sz val="8"/>
        <color theme="1"/>
        <rFont val="Arial"/>
        <family val="2"/>
      </rPr>
      <t xml:space="preserve"> via COTISSE TMM-TNR suivant votre instruction
</t>
    </r>
    <r>
      <rPr>
        <b/>
        <sz val="8"/>
        <color theme="1"/>
        <rFont val="Arial"/>
        <family val="2"/>
      </rPr>
      <t>***Paiement :</t>
    </r>
    <r>
      <rPr>
        <sz val="8"/>
        <color theme="1"/>
        <rFont val="Arial"/>
        <family val="2"/>
      </rPr>
      <t xml:space="preserve"> virement bancaire en date du 18/06/26 (à l'ordre de MA-ERI CONSULTING)</t>
    </r>
    <r>
      <rPr>
        <b/>
        <sz val="8"/>
        <color theme="1"/>
        <rFont val="Arial"/>
        <family val="2"/>
      </rPr>
      <t>.</t>
    </r>
  </si>
  <si>
    <t>Code client</t>
  </si>
  <si>
    <t>CLIENT</t>
  </si>
  <si>
    <t>001</t>
  </si>
  <si>
    <t>KIS MADAGASCAR</t>
  </si>
  <si>
    <t>Tamatave</t>
  </si>
  <si>
    <t>002</t>
  </si>
  <si>
    <t>ETABLISSEMENT GALLOIS SISAL</t>
  </si>
  <si>
    <t>Tanà</t>
  </si>
  <si>
    <t>003</t>
  </si>
  <si>
    <t>MAURILAIT SA</t>
  </si>
  <si>
    <t>004</t>
  </si>
  <si>
    <t>BIONEXX S.A</t>
  </si>
  <si>
    <t>Fianarantsoa</t>
  </si>
  <si>
    <t>005</t>
  </si>
  <si>
    <t>EnerMech Limited Madagascar</t>
  </si>
  <si>
    <t>006</t>
  </si>
  <si>
    <t>Société Malagache de Propreté (SOMAPRO)</t>
  </si>
  <si>
    <t>007</t>
  </si>
  <si>
    <t>SOVALG</t>
  </si>
  <si>
    <t>Sainte Marie</t>
  </si>
  <si>
    <t>008</t>
  </si>
  <si>
    <t>GALANA RAFFENIRIE TERMINAL SA</t>
  </si>
  <si>
    <t>009</t>
  </si>
  <si>
    <t>AGRIVAL</t>
  </si>
  <si>
    <t>010</t>
  </si>
  <si>
    <t>ANDRIATSARAFARA NAMBININA</t>
  </si>
  <si>
    <t>011</t>
  </si>
  <si>
    <t>SYMRISE SA</t>
  </si>
  <si>
    <t>Tanà/Sambava</t>
  </si>
  <si>
    <t>012</t>
  </si>
  <si>
    <t>Société ARIMA (TRADE &amp; SERVICE)</t>
  </si>
  <si>
    <t>013</t>
  </si>
  <si>
    <t>NOSY BORAHA SEAWEED</t>
  </si>
  <si>
    <t>014</t>
  </si>
  <si>
    <t>ENAC</t>
  </si>
  <si>
    <t>015</t>
  </si>
  <si>
    <t>SS JOVENA KARIMBOLA</t>
  </si>
  <si>
    <t>Tuléar</t>
  </si>
  <si>
    <t>016</t>
  </si>
  <si>
    <t>LAURYN ELEC</t>
  </si>
  <si>
    <t>017</t>
  </si>
  <si>
    <t>ABC by BRICORAMA</t>
  </si>
  <si>
    <t>018</t>
  </si>
  <si>
    <t>TROPICAL WOOD</t>
  </si>
  <si>
    <t>019</t>
  </si>
  <si>
    <t>SMMC</t>
  </si>
  <si>
    <t>020</t>
  </si>
  <si>
    <t>SOPRAL</t>
  </si>
  <si>
    <t>021</t>
  </si>
  <si>
    <t>PECHE EXPORT</t>
  </si>
  <si>
    <t>Mahajanga</t>
  </si>
  <si>
    <t>022</t>
  </si>
  <si>
    <t>FLOR IBIS</t>
  </si>
  <si>
    <t>Vohémar</t>
  </si>
  <si>
    <t>023</t>
  </si>
  <si>
    <t>SS JOVENA ANKARATRA</t>
  </si>
  <si>
    <t>Antsirabe</t>
  </si>
  <si>
    <t>024</t>
  </si>
  <si>
    <t>SONOCO</t>
  </si>
  <si>
    <t>025</t>
  </si>
  <si>
    <t>SOCOLAIT</t>
  </si>
  <si>
    <t>026</t>
  </si>
  <si>
    <t>COGECI</t>
  </si>
  <si>
    <t>027</t>
  </si>
  <si>
    <t>COTONA FABRICS</t>
  </si>
  <si>
    <t>028</t>
  </si>
  <si>
    <t>MOSCO</t>
  </si>
  <si>
    <t>029</t>
  </si>
  <si>
    <t>SC SERVICES</t>
  </si>
  <si>
    <t>030</t>
  </si>
  <si>
    <t>TIRUPATI</t>
  </si>
  <si>
    <t>031</t>
  </si>
  <si>
    <t>SPAT</t>
  </si>
  <si>
    <t>032</t>
  </si>
  <si>
    <t>ITM</t>
  </si>
  <si>
    <t>033</t>
  </si>
  <si>
    <t>AGL</t>
  </si>
  <si>
    <t>034</t>
  </si>
  <si>
    <t>EXA</t>
  </si>
  <si>
    <t>Diégo</t>
  </si>
  <si>
    <t>035</t>
  </si>
  <si>
    <t>IMPERIAL BRANDS MADAGASCAR-SITAM</t>
  </si>
  <si>
    <t>036</t>
  </si>
  <si>
    <t>IMPERIAL BRANDS MADAGASCAR-PROMODIM</t>
  </si>
  <si>
    <t>037</t>
  </si>
  <si>
    <t>OCEAN TRADE</t>
  </si>
  <si>
    <t>038</t>
  </si>
  <si>
    <t>ERG MADAGASCAR</t>
  </si>
  <si>
    <t>039</t>
  </si>
  <si>
    <t>Quincaillerie ZAYENABAY Mamodaly</t>
  </si>
  <si>
    <t>040</t>
  </si>
  <si>
    <t>FIRST ENERGY</t>
  </si>
  <si>
    <t>041</t>
  </si>
  <si>
    <t>ID MOTORS</t>
  </si>
  <si>
    <t>042</t>
  </si>
  <si>
    <t>QIMPEXX SA</t>
  </si>
  <si>
    <t>043</t>
  </si>
  <si>
    <t>HABIBO DAIRY</t>
  </si>
  <si>
    <t>044</t>
  </si>
  <si>
    <t>SAVONNERIE TROPICALE</t>
  </si>
  <si>
    <t>045</t>
  </si>
  <si>
    <t>COMISAV Madagascar</t>
  </si>
  <si>
    <t>046</t>
  </si>
  <si>
    <t>SAMCRETE</t>
  </si>
  <si>
    <t>047</t>
  </si>
  <si>
    <t>CFAO</t>
  </si>
  <si>
    <t>048</t>
  </si>
  <si>
    <t>049</t>
  </si>
  <si>
    <t>APM</t>
  </si>
  <si>
    <t>050</t>
  </si>
  <si>
    <t>ECOFARMING</t>
  </si>
  <si>
    <t>051</t>
  </si>
  <si>
    <t>SOBATRA</t>
  </si>
  <si>
    <t>052</t>
  </si>
  <si>
    <t>AUTOTRACTOR</t>
  </si>
  <si>
    <t>053</t>
  </si>
  <si>
    <t>FOCUS</t>
  </si>
  <si>
    <t>054</t>
  </si>
  <si>
    <t>COMAMA</t>
  </si>
  <si>
    <t>055</t>
  </si>
  <si>
    <t>AREMEC</t>
  </si>
  <si>
    <t>056</t>
  </si>
  <si>
    <t>CCIS</t>
  </si>
  <si>
    <t>057</t>
  </si>
  <si>
    <t>SCB</t>
  </si>
  <si>
    <t>Adresse</t>
  </si>
  <si>
    <t>NIF</t>
  </si>
  <si>
    <t>STAT</t>
  </si>
  <si>
    <t>RCS</t>
  </si>
  <si>
    <t>CF</t>
  </si>
  <si>
    <t>CONTACT</t>
  </si>
  <si>
    <t>PHONE</t>
  </si>
  <si>
    <t>MAIL</t>
  </si>
  <si>
    <t>Référence</t>
  </si>
  <si>
    <t>Désignation</t>
  </si>
  <si>
    <t>Prix d'achat TTC</t>
  </si>
  <si>
    <t>Prix de vente TTC</t>
  </si>
  <si>
    <t>Catégorie</t>
  </si>
  <si>
    <t>UOM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</si>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</sst>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;@"/>
    <numFmt numFmtId="165" formatCode="[$MGA]\ #,##0.00"/>
    <numFmt numFmtId="166" formatCode="_-* #,##0.00\ _€_-;\-* #,##0.00\ _€_-;_-* &quot;-&quot;??\ _€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2"/>
      <name val="Arial"/>
      <family val="2"/>
    </font>
    <font>
      <b/>
      <sz val="13"/>
      <color theme="1"/>
      <name val="Bradley Hand ITC"/>
      <family val="4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9"/>
      <color rgb="FF0070C0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b/>
      <u/>
      <sz val="8"/>
      <color rgb="FF00000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4" fillId="0" borderId="0" applyNumberFormat="0" applyFill="0" applyBorder="0" applyAlignment="0" applyProtection="0"/>
  </cellStyleXfs>
  <cellXfs count="164">
    <xf numFmtId="0" fontId="0" fillId="0" borderId="0" xfId="0"/>
    <xf numFmtId="0" fontId="2" fillId="0" borderId="0" xfId="2" applyFont="1"/>
    <xf numFmtId="0" fontId="2" fillId="0" borderId="0" xfId="2" applyFont="1" applyAlignment="1">
      <alignment horizontal="center"/>
    </xf>
    <xf numFmtId="0" fontId="3" fillId="2" borderId="1" xfId="2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2" fillId="0" borderId="1" xfId="2" applyFont="1" applyBorder="1" applyAlignment="1">
      <alignment horizontal="left" vertical="center" indent="1"/>
    </xf>
    <xf numFmtId="0" fontId="5" fillId="0" borderId="1" xfId="2" applyFont="1" applyBorder="1" applyAlignment="1">
      <alignment horizontal="right" vertical="center" indent="1"/>
    </xf>
    <xf numFmtId="0" fontId="2" fillId="0" borderId="5" xfId="2" applyFont="1" applyBorder="1"/>
    <xf numFmtId="0" fontId="2" fillId="0" borderId="0" xfId="2" applyFont="1" applyAlignment="1">
      <alignment horizontal="left" vertical="center" wrapText="1" indent="1"/>
    </xf>
    <xf numFmtId="0" fontId="2" fillId="0" borderId="0" xfId="2" applyFont="1" applyAlignment="1">
      <alignment horizontal="left" vertical="center" indent="1"/>
    </xf>
    <xf numFmtId="0" fontId="2" fillId="0" borderId="6" xfId="2" applyFont="1" applyBorder="1" applyAlignment="1">
      <alignment horizontal="left" vertical="center" indent="1"/>
    </xf>
    <xf numFmtId="164" fontId="2" fillId="0" borderId="1" xfId="2" applyNumberFormat="1" applyFont="1" applyBorder="1" applyAlignment="1">
      <alignment horizontal="right" vertical="center" indent="1"/>
    </xf>
    <xf numFmtId="0" fontId="2" fillId="0" borderId="1" xfId="2" applyFont="1" applyBorder="1" applyAlignment="1">
      <alignment horizontal="left" vertical="center" wrapText="1" indent="1"/>
    </xf>
    <xf numFmtId="0" fontId="2" fillId="0" borderId="7" xfId="2" applyFont="1" applyBorder="1" applyAlignment="1">
      <alignment vertical="center"/>
    </xf>
    <xf numFmtId="0" fontId="2" fillId="0" borderId="8" xfId="2" applyFont="1" applyBorder="1"/>
    <xf numFmtId="0" fontId="2" fillId="0" borderId="8" xfId="2" applyFont="1" applyBorder="1" applyAlignment="1">
      <alignment horizontal="left" vertical="center" indent="1"/>
    </xf>
    <xf numFmtId="0" fontId="2" fillId="0" borderId="9" xfId="2" applyFont="1" applyBorder="1" applyAlignment="1">
      <alignment horizontal="left" vertical="center" indent="1"/>
    </xf>
    <xf numFmtId="0" fontId="10" fillId="0" borderId="10" xfId="2" applyFont="1" applyBorder="1" applyAlignment="1">
      <alignment horizontal="left" vertical="center"/>
    </xf>
    <xf numFmtId="0" fontId="10" fillId="0" borderId="11" xfId="2" applyFont="1" applyBorder="1" applyAlignment="1">
      <alignment horizontal="left" vertical="center"/>
    </xf>
    <xf numFmtId="0" fontId="10" fillId="0" borderId="12" xfId="2" applyFont="1" applyBorder="1" applyAlignment="1">
      <alignment horizontal="left" vertical="center"/>
    </xf>
    <xf numFmtId="0" fontId="10" fillId="0" borderId="0" xfId="2" applyFont="1" applyAlignment="1">
      <alignment vertical="center"/>
    </xf>
    <xf numFmtId="0" fontId="2" fillId="0" borderId="10" xfId="2" quotePrefix="1" applyFont="1" applyBorder="1" applyAlignment="1">
      <alignment horizontal="left" vertical="center" indent="1"/>
    </xf>
    <xf numFmtId="14" fontId="2" fillId="0" borderId="11" xfId="2" applyNumberFormat="1" applyFont="1" applyBorder="1" applyAlignment="1">
      <alignment horizontal="center" vertical="center"/>
    </xf>
    <xf numFmtId="14" fontId="2" fillId="0" borderId="11" xfId="2" applyNumberFormat="1" applyFont="1" applyBorder="1" applyAlignment="1">
      <alignment vertical="center"/>
    </xf>
    <xf numFmtId="164" fontId="2" fillId="0" borderId="11" xfId="2" applyNumberFormat="1" applyFont="1" applyBorder="1" applyAlignment="1">
      <alignment horizontal="left" vertical="center"/>
    </xf>
    <xf numFmtId="0" fontId="2" fillId="0" borderId="11" xfId="2" applyFont="1" applyBorder="1" applyAlignment="1">
      <alignment horizontal="right" vertical="center"/>
    </xf>
    <xf numFmtId="0" fontId="2" fillId="0" borderId="11" xfId="2" applyFont="1" applyBorder="1" applyAlignment="1">
      <alignment vertical="center"/>
    </xf>
    <xf numFmtId="0" fontId="2" fillId="0" borderId="12" xfId="2" applyFont="1" applyBorder="1" applyAlignment="1">
      <alignment horizontal="right" vertical="center" indent="1"/>
    </xf>
    <xf numFmtId="0" fontId="2" fillId="0" borderId="0" xfId="2" applyFont="1" applyAlignment="1">
      <alignment vertical="center"/>
    </xf>
    <xf numFmtId="0" fontId="2" fillId="0" borderId="10" xfId="2" quotePrefix="1" applyFont="1" applyBorder="1" applyAlignment="1">
      <alignment vertical="center"/>
    </xf>
    <xf numFmtId="0" fontId="2" fillId="0" borderId="11" xfId="2" applyFont="1" applyBorder="1" applyAlignment="1">
      <alignment horizontal="center" vertical="center"/>
    </xf>
    <xf numFmtId="164" fontId="2" fillId="0" borderId="11" xfId="2" applyNumberFormat="1" applyFont="1" applyBorder="1" applyAlignment="1">
      <alignment horizontal="left" vertical="center"/>
    </xf>
    <xf numFmtId="0" fontId="2" fillId="0" borderId="12" xfId="2" applyFont="1" applyBorder="1" applyAlignment="1">
      <alignment horizontal="right" vertical="center"/>
    </xf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1" fillId="3" borderId="10" xfId="3" applyFont="1" applyFill="1" applyBorder="1" applyAlignment="1">
      <alignment horizontal="left" vertical="center" wrapText="1"/>
    </xf>
    <xf numFmtId="0" fontId="11" fillId="3" borderId="11" xfId="3" applyFont="1" applyFill="1" applyBorder="1" applyAlignment="1">
      <alignment horizontal="left" vertical="center"/>
    </xf>
    <xf numFmtId="0" fontId="11" fillId="3" borderId="12" xfId="3" applyFont="1" applyFill="1" applyBorder="1" applyAlignment="1">
      <alignment horizontal="left" vertical="center"/>
    </xf>
    <xf numFmtId="0" fontId="11" fillId="3" borderId="1" xfId="3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4" fontId="2" fillId="0" borderId="1" xfId="2" applyNumberFormat="1" applyFont="1" applyBorder="1" applyAlignment="1">
      <alignment vertical="center"/>
    </xf>
    <xf numFmtId="9" fontId="2" fillId="0" borderId="1" xfId="2" applyNumberFormat="1" applyFont="1" applyBorder="1" applyAlignment="1">
      <alignment vertical="center"/>
    </xf>
    <xf numFmtId="165" fontId="2" fillId="0" borderId="1" xfId="2" applyNumberFormat="1" applyFont="1" applyBorder="1" applyAlignment="1">
      <alignment vertical="center"/>
    </xf>
    <xf numFmtId="43" fontId="2" fillId="0" borderId="0" xfId="1" applyFont="1" applyAlignment="1">
      <alignment vertical="center"/>
    </xf>
    <xf numFmtId="2" fontId="2" fillId="0" borderId="0" xfId="2" applyNumberFormat="1" applyFont="1" applyAlignment="1">
      <alignment vertical="center"/>
    </xf>
    <xf numFmtId="0" fontId="11" fillId="3" borderId="5" xfId="3" applyFont="1" applyFill="1" applyBorder="1" applyAlignment="1">
      <alignment horizontal="left" vertical="center"/>
    </xf>
    <xf numFmtId="0" fontId="11" fillId="3" borderId="0" xfId="3" applyFont="1" applyFill="1" applyAlignment="1">
      <alignment horizontal="left" vertical="center"/>
    </xf>
    <xf numFmtId="0" fontId="11" fillId="3" borderId="0" xfId="3" applyFont="1" applyFill="1" applyAlignment="1">
      <alignment horizontal="center" vertical="center"/>
    </xf>
    <xf numFmtId="0" fontId="2" fillId="0" borderId="0" xfId="2" applyFont="1" applyAlignment="1">
      <alignment horizontal="center" vertical="center"/>
    </xf>
    <xf numFmtId="4" fontId="2" fillId="0" borderId="0" xfId="2" applyNumberFormat="1" applyFont="1" applyAlignment="1">
      <alignment vertical="center"/>
    </xf>
    <xf numFmtId="9" fontId="2" fillId="0" borderId="0" xfId="2" applyNumberFormat="1" applyFont="1" applyAlignment="1">
      <alignment vertical="center"/>
    </xf>
    <xf numFmtId="165" fontId="2" fillId="0" borderId="6" xfId="2" applyNumberFormat="1" applyFont="1" applyBorder="1" applyAlignment="1">
      <alignment vertical="center"/>
    </xf>
    <xf numFmtId="0" fontId="11" fillId="3" borderId="5" xfId="3" applyFont="1" applyFill="1" applyBorder="1" applyAlignment="1">
      <alignment horizontal="left" vertical="center"/>
    </xf>
    <xf numFmtId="0" fontId="11" fillId="3" borderId="0" xfId="3" applyFont="1" applyFill="1" applyAlignment="1">
      <alignment horizontal="left" vertical="center"/>
    </xf>
    <xf numFmtId="166" fontId="2" fillId="0" borderId="0" xfId="2" applyNumberFormat="1" applyFont="1" applyAlignment="1">
      <alignment vertical="center"/>
    </xf>
    <xf numFmtId="0" fontId="2" fillId="0" borderId="7" xfId="2" applyFont="1" applyBorder="1" applyAlignment="1">
      <alignment horizontal="left" vertical="center"/>
    </xf>
    <xf numFmtId="4" fontId="2" fillId="0" borderId="8" xfId="2" applyNumberFormat="1" applyFont="1" applyBorder="1"/>
    <xf numFmtId="0" fontId="2" fillId="0" borderId="8" xfId="2" applyFont="1" applyBorder="1" applyAlignment="1">
      <alignment horizontal="center"/>
    </xf>
    <xf numFmtId="165" fontId="2" fillId="0" borderId="9" xfId="2" applyNumberFormat="1" applyFont="1" applyBorder="1"/>
    <xf numFmtId="0" fontId="2" fillId="0" borderId="1" xfId="4" applyFont="1" applyBorder="1" applyAlignment="1">
      <alignment horizontal="left" vertical="center" wrapText="1"/>
    </xf>
    <xf numFmtId="165" fontId="2" fillId="0" borderId="1" xfId="2" applyNumberFormat="1" applyFont="1" applyBorder="1" applyAlignment="1">
      <alignment horizontal="right" vertical="center"/>
    </xf>
    <xf numFmtId="0" fontId="2" fillId="0" borderId="0" xfId="2" applyFont="1" applyAlignment="1">
      <alignment horizontal="left" indent="1"/>
    </xf>
    <xf numFmtId="0" fontId="10" fillId="0" borderId="1" xfId="2" applyFont="1" applyBorder="1" applyAlignment="1">
      <alignment horizontal="left" vertical="center" indent="1"/>
    </xf>
    <xf numFmtId="165" fontId="10" fillId="0" borderId="1" xfId="2" applyNumberFormat="1" applyFont="1" applyBorder="1" applyAlignment="1">
      <alignment horizontal="right" vertical="center"/>
    </xf>
    <xf numFmtId="0" fontId="10" fillId="0" borderId="1" xfId="2" applyFont="1" applyBorder="1" applyAlignment="1">
      <alignment horizontal="right" vertical="center"/>
    </xf>
    <xf numFmtId="0" fontId="10" fillId="0" borderId="0" xfId="2" applyFont="1" applyAlignment="1">
      <alignment horizontal="left" vertical="center" indent="1"/>
    </xf>
    <xf numFmtId="165" fontId="10" fillId="0" borderId="0" xfId="2" applyNumberFormat="1" applyFont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2" fillId="0" borderId="0" xfId="5" applyFont="1"/>
    <xf numFmtId="0" fontId="4" fillId="0" borderId="2" xfId="5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4" fillId="0" borderId="4" xfId="5" applyFont="1" applyBorder="1" applyAlignment="1">
      <alignment horizontal="center" vertical="center"/>
    </xf>
    <xf numFmtId="0" fontId="6" fillId="0" borderId="1" xfId="2" applyFont="1" applyBorder="1" applyAlignment="1">
      <alignment horizontal="right" vertical="center" indent="1"/>
    </xf>
    <xf numFmtId="0" fontId="2" fillId="0" borderId="5" xfId="5" applyFont="1" applyBorder="1"/>
    <xf numFmtId="0" fontId="2" fillId="0" borderId="0" xfId="5" applyFont="1" applyAlignment="1">
      <alignment horizontal="left" vertical="center" wrapText="1" indent="1"/>
    </xf>
    <xf numFmtId="0" fontId="2" fillId="0" borderId="0" xfId="5" applyFont="1" applyAlignment="1">
      <alignment horizontal="left" vertical="center" indent="1"/>
    </xf>
    <xf numFmtId="0" fontId="2" fillId="0" borderId="6" xfId="5" applyFont="1" applyBorder="1" applyAlignment="1">
      <alignment horizontal="left" vertical="center" indent="1"/>
    </xf>
    <xf numFmtId="0" fontId="2" fillId="0" borderId="1" xfId="6" applyFont="1" applyBorder="1" applyAlignment="1">
      <alignment horizontal="left" vertical="center" indent="1"/>
    </xf>
    <xf numFmtId="164" fontId="2" fillId="0" borderId="1" xfId="6" applyNumberFormat="1" applyFont="1" applyBorder="1" applyAlignment="1">
      <alignment horizontal="right" vertical="center" indent="1"/>
    </xf>
    <xf numFmtId="0" fontId="2" fillId="0" borderId="1" xfId="5" applyFont="1" applyBorder="1" applyAlignment="1">
      <alignment horizontal="left" vertical="center" wrapText="1" indent="1"/>
    </xf>
    <xf numFmtId="0" fontId="2" fillId="0" borderId="7" xfId="5" applyFont="1" applyBorder="1" applyAlignment="1">
      <alignment vertical="center"/>
    </xf>
    <xf numFmtId="0" fontId="2" fillId="0" borderId="8" xfId="5" applyFont="1" applyBorder="1"/>
    <xf numFmtId="0" fontId="2" fillId="0" borderId="8" xfId="5" applyFont="1" applyBorder="1" applyAlignment="1">
      <alignment horizontal="left" vertical="center" indent="1"/>
    </xf>
    <xf numFmtId="0" fontId="2" fillId="0" borderId="9" xfId="5" applyFont="1" applyBorder="1" applyAlignment="1">
      <alignment horizontal="left" vertical="center" indent="1"/>
    </xf>
    <xf numFmtId="0" fontId="10" fillId="0" borderId="0" xfId="5" applyFont="1" applyAlignment="1">
      <alignment vertical="center"/>
    </xf>
    <xf numFmtId="0" fontId="2" fillId="0" borderId="10" xfId="5" quotePrefix="1" applyFont="1" applyBorder="1" applyAlignment="1">
      <alignment horizontal="left" vertical="center" indent="1"/>
    </xf>
    <xf numFmtId="14" fontId="2" fillId="0" borderId="11" xfId="5" applyNumberFormat="1" applyFont="1" applyBorder="1" applyAlignment="1">
      <alignment horizontal="center" vertical="center"/>
    </xf>
    <xf numFmtId="14" fontId="2" fillId="0" borderId="11" xfId="5" applyNumberFormat="1" applyFont="1" applyBorder="1" applyAlignment="1">
      <alignment vertical="center"/>
    </xf>
    <xf numFmtId="164" fontId="2" fillId="0" borderId="11" xfId="5" applyNumberFormat="1" applyFont="1" applyBorder="1" applyAlignment="1">
      <alignment horizontal="left" vertical="center"/>
    </xf>
    <xf numFmtId="0" fontId="2" fillId="0" borderId="11" xfId="5" applyFont="1" applyBorder="1" applyAlignment="1">
      <alignment horizontal="right" vertical="center"/>
    </xf>
    <xf numFmtId="0" fontId="2" fillId="0" borderId="11" xfId="5" applyFont="1" applyBorder="1" applyAlignment="1">
      <alignment vertical="center"/>
    </xf>
    <xf numFmtId="0" fontId="2" fillId="0" borderId="12" xfId="5" applyFont="1" applyBorder="1" applyAlignment="1">
      <alignment horizontal="right" vertical="center" indent="1"/>
    </xf>
    <xf numFmtId="0" fontId="2" fillId="0" borderId="0" xfId="5" applyFont="1" applyAlignment="1">
      <alignment vertical="center"/>
    </xf>
    <xf numFmtId="0" fontId="2" fillId="0" borderId="10" xfId="5" quotePrefix="1" applyFont="1" applyBorder="1" applyAlignment="1">
      <alignment vertical="center"/>
    </xf>
    <xf numFmtId="164" fontId="2" fillId="0" borderId="11" xfId="5" applyNumberFormat="1" applyFont="1" applyBorder="1" applyAlignment="1">
      <alignment horizontal="left" vertical="center"/>
    </xf>
    <xf numFmtId="0" fontId="2" fillId="0" borderId="12" xfId="5" applyFont="1" applyBorder="1" applyAlignment="1">
      <alignment horizontal="right" vertical="center"/>
    </xf>
    <xf numFmtId="0" fontId="10" fillId="0" borderId="1" xfId="5" applyFont="1" applyBorder="1" applyAlignment="1">
      <alignment horizontal="center" vertical="center"/>
    </xf>
    <xf numFmtId="0" fontId="10" fillId="0" borderId="1" xfId="5" applyFont="1" applyBorder="1" applyAlignment="1">
      <alignment horizontal="center" vertical="center"/>
    </xf>
    <xf numFmtId="0" fontId="10" fillId="0" borderId="1" xfId="5" applyFont="1" applyBorder="1" applyAlignment="1">
      <alignment horizontal="center" vertical="center" wrapText="1"/>
    </xf>
    <xf numFmtId="0" fontId="11" fillId="3" borderId="1" xfId="7" applyFont="1" applyFill="1" applyBorder="1" applyAlignment="1">
      <alignment horizontal="left" vertical="center"/>
    </xf>
    <xf numFmtId="0" fontId="11" fillId="3" borderId="1" xfId="7" applyFont="1" applyFill="1" applyBorder="1" applyAlignment="1">
      <alignment horizontal="right" vertical="center"/>
    </xf>
    <xf numFmtId="0" fontId="2" fillId="0" borderId="1" xfId="5" applyFont="1" applyBorder="1" applyAlignment="1">
      <alignment horizontal="center" vertical="center"/>
    </xf>
    <xf numFmtId="4" fontId="2" fillId="0" borderId="1" xfId="5" applyNumberFormat="1" applyFont="1" applyBorder="1" applyAlignment="1">
      <alignment vertical="center"/>
    </xf>
    <xf numFmtId="9" fontId="2" fillId="0" borderId="1" xfId="5" applyNumberFormat="1" applyFont="1" applyBorder="1" applyAlignment="1">
      <alignment vertical="center"/>
    </xf>
    <xf numFmtId="165" fontId="2" fillId="0" borderId="1" xfId="5" applyNumberFormat="1" applyFont="1" applyBorder="1" applyAlignment="1">
      <alignment vertical="center"/>
    </xf>
    <xf numFmtId="0" fontId="11" fillId="3" borderId="5" xfId="7" applyFont="1" applyFill="1" applyBorder="1" applyAlignment="1">
      <alignment horizontal="left" vertical="center"/>
    </xf>
    <xf numFmtId="0" fontId="11" fillId="3" borderId="0" xfId="7" applyFont="1" applyFill="1" applyAlignment="1">
      <alignment horizontal="left" vertical="center"/>
    </xf>
    <xf numFmtId="0" fontId="11" fillId="3" borderId="0" xfId="7" applyFont="1" applyFill="1" applyAlignment="1">
      <alignment horizontal="right" vertical="center"/>
    </xf>
    <xf numFmtId="0" fontId="2" fillId="0" borderId="0" xfId="5" applyFont="1" applyAlignment="1">
      <alignment horizontal="center" vertical="center"/>
    </xf>
    <xf numFmtId="4" fontId="2" fillId="0" borderId="0" xfId="5" applyNumberFormat="1" applyFont="1" applyAlignment="1">
      <alignment vertical="center"/>
    </xf>
    <xf numFmtId="9" fontId="2" fillId="0" borderId="0" xfId="5" applyNumberFormat="1" applyFont="1" applyAlignment="1">
      <alignment vertical="center"/>
    </xf>
    <xf numFmtId="165" fontId="2" fillId="0" borderId="6" xfId="5" applyNumberFormat="1" applyFont="1" applyBorder="1" applyAlignment="1">
      <alignment vertical="center"/>
    </xf>
    <xf numFmtId="0" fontId="2" fillId="0" borderId="7" xfId="5" applyFont="1" applyBorder="1" applyAlignment="1">
      <alignment horizontal="left" vertical="center"/>
    </xf>
    <xf numFmtId="4" fontId="2" fillId="0" borderId="8" xfId="5" applyNumberFormat="1" applyFont="1" applyBorder="1"/>
    <xf numFmtId="0" fontId="2" fillId="0" borderId="8" xfId="5" applyFont="1" applyBorder="1" applyAlignment="1">
      <alignment horizontal="center"/>
    </xf>
    <xf numFmtId="165" fontId="2" fillId="0" borderId="9" xfId="5" applyNumberFormat="1" applyFont="1" applyBorder="1"/>
    <xf numFmtId="0" fontId="2" fillId="0" borderId="2" xfId="5" applyFont="1" applyBorder="1" applyAlignment="1">
      <alignment horizontal="left" vertical="center" wrapText="1" indent="1"/>
    </xf>
    <xf numFmtId="0" fontId="2" fillId="0" borderId="3" xfId="5" applyFont="1" applyBorder="1" applyAlignment="1">
      <alignment horizontal="left" vertical="center" indent="1"/>
    </xf>
    <xf numFmtId="0" fontId="2" fillId="0" borderId="4" xfId="5" applyFont="1" applyBorder="1" applyAlignment="1">
      <alignment horizontal="left" vertical="center" indent="1"/>
    </xf>
    <xf numFmtId="0" fontId="2" fillId="0" borderId="1" xfId="5" applyFont="1" applyBorder="1" applyAlignment="1">
      <alignment horizontal="left" vertical="center" indent="1"/>
    </xf>
    <xf numFmtId="165" fontId="2" fillId="0" borderId="1" xfId="5" applyNumberFormat="1" applyFont="1" applyBorder="1" applyAlignment="1">
      <alignment horizontal="right" vertical="center"/>
    </xf>
    <xf numFmtId="0" fontId="2" fillId="0" borderId="5" xfId="5" applyFont="1" applyBorder="1" applyAlignment="1">
      <alignment horizontal="left" vertical="center" indent="1"/>
    </xf>
    <xf numFmtId="0" fontId="2" fillId="0" borderId="0" xfId="5" applyFont="1" applyAlignment="1">
      <alignment horizontal="left" indent="1"/>
    </xf>
    <xf numFmtId="0" fontId="2" fillId="0" borderId="7" xfId="5" applyFont="1" applyBorder="1" applyAlignment="1">
      <alignment horizontal="left" vertical="center" indent="1"/>
    </xf>
    <xf numFmtId="0" fontId="10" fillId="0" borderId="1" xfId="5" applyFont="1" applyBorder="1" applyAlignment="1">
      <alignment horizontal="left" vertical="center" indent="1"/>
    </xf>
    <xf numFmtId="165" fontId="10" fillId="0" borderId="1" xfId="5" applyNumberFormat="1" applyFont="1" applyBorder="1" applyAlignment="1">
      <alignment horizontal="right" vertical="center"/>
    </xf>
    <xf numFmtId="0" fontId="10" fillId="0" borderId="1" xfId="5" applyFont="1" applyBorder="1" applyAlignment="1">
      <alignment horizontal="right" vertical="center"/>
    </xf>
    <xf numFmtId="0" fontId="7" fillId="0" borderId="2" xfId="5" applyFont="1" applyBorder="1" applyAlignment="1">
      <alignment horizontal="center" vertical="center"/>
    </xf>
    <xf numFmtId="0" fontId="7" fillId="0" borderId="3" xfId="5" applyFont="1" applyBorder="1" applyAlignment="1">
      <alignment horizontal="center" vertical="center"/>
    </xf>
    <xf numFmtId="0" fontId="7" fillId="0" borderId="4" xfId="5" applyFont="1" applyBorder="1" applyAlignment="1">
      <alignment horizontal="center" vertical="center"/>
    </xf>
    <xf numFmtId="0" fontId="8" fillId="0" borderId="5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6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 wrapText="1"/>
    </xf>
    <xf numFmtId="0" fontId="5" fillId="0" borderId="8" xfId="5" applyFont="1" applyBorder="1" applyAlignment="1">
      <alignment horizontal="center" vertical="center" wrapText="1"/>
    </xf>
    <xf numFmtId="0" fontId="5" fillId="0" borderId="9" xfId="5" applyFont="1" applyBorder="1" applyAlignment="1">
      <alignment horizontal="center" vertical="center" wrapText="1"/>
    </xf>
    <xf numFmtId="0" fontId="2" fillId="0" borderId="0" xfId="5" applyFont="1" applyAlignment="1">
      <alignment horizontal="center" vertical="center" wrapText="1"/>
    </xf>
    <xf numFmtId="0" fontId="2" fillId="0" borderId="0" xfId="5" applyFont="1" applyAlignment="1">
      <alignment horizontal="center" vertical="center"/>
    </xf>
    <xf numFmtId="0" fontId="5" fillId="0" borderId="1" xfId="8" applyFont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/>
    </xf>
    <xf numFmtId="0" fontId="5" fillId="0" borderId="0" xfId="8" applyFont="1" applyAlignment="1">
      <alignment horizontal="center" vertical="center"/>
    </xf>
    <xf numFmtId="0" fontId="13" fillId="0" borderId="1" xfId="8" quotePrefix="1" applyBorder="1" applyAlignment="1">
      <alignment horizontal="center"/>
    </xf>
    <xf numFmtId="0" fontId="13" fillId="0" borderId="1" xfId="8" applyBorder="1"/>
    <xf numFmtId="0" fontId="13" fillId="0" borderId="0" xfId="8"/>
    <xf numFmtId="0" fontId="13" fillId="0" borderId="1" xfId="8" applyBorder="1" applyAlignment="1">
      <alignment wrapText="1"/>
    </xf>
    <xf numFmtId="0" fontId="13" fillId="0" borderId="1" xfId="8" quotePrefix="1" applyBorder="1"/>
    <xf numFmtId="0" fontId="13" fillId="0" borderId="13" xfId="8" applyBorder="1"/>
    <xf numFmtId="0" fontId="13" fillId="0" borderId="0" xfId="8" quotePrefix="1"/>
    <xf numFmtId="0" fontId="0" fillId="0" borderId="1" xfId="0" applyBorder="1"/>
  </cellXfs>
  <cellStyles count="10">
    <cellStyle name="Lien hypertexte 2" xfId="9" xr:uid="{0BFCCADD-4219-4071-8895-E4FC55FB10AB}"/>
    <cellStyle name="Milliers" xfId="1" builtinId="3"/>
    <cellStyle name="Normal" xfId="0" builtinId="0"/>
    <cellStyle name="Normal 14 3 2" xfId="2" xr:uid="{45F29E3F-D5CF-4BBC-B7BB-EDD9F4FA515B}"/>
    <cellStyle name="Normal 14 3 5" xfId="5" xr:uid="{0B85D234-EA8E-40D4-A7E6-3F708AC00B2A}"/>
    <cellStyle name="Normal 14 5" xfId="6" xr:uid="{A76D4FAF-D0C3-463F-831B-220B90E54E9D}"/>
    <cellStyle name="Normal 14 6" xfId="4" xr:uid="{CF6502D4-0862-43A8-A52C-CB895D1B001D}"/>
    <cellStyle name="Normal 15 2" xfId="3" xr:uid="{899A9022-7C06-4856-ABD0-9D6A12853CCD}"/>
    <cellStyle name="Normal 15 4" xfId="7" xr:uid="{B2B3B72A-98AE-4C6C-A00F-B1EB0D34BE5B}"/>
    <cellStyle name="Normal 2" xfId="8" xr:uid="{E90DB567-6D05-438B-B4DD-8B1D2EDF29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</xdr:row>
      <xdr:rowOff>0</xdr:rowOff>
    </xdr:from>
    <xdr:to>
      <xdr:col>2</xdr:col>
      <xdr:colOff>105984</xdr:colOff>
      <xdr:row>7</xdr:row>
      <xdr:rowOff>233400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CDABBCD-9A3D-40DE-9C3A-E2E57E4F1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85800"/>
          <a:ext cx="1553784" cy="12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47625</xdr:colOff>
      <xdr:row>25</xdr:row>
      <xdr:rowOff>85725</xdr:rowOff>
    </xdr:from>
    <xdr:to>
      <xdr:col>11</xdr:col>
      <xdr:colOff>1009650</xdr:colOff>
      <xdr:row>25</xdr:row>
      <xdr:rowOff>838200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9C15D7C-C8F9-41F9-9D96-B7D6183E8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6886575"/>
          <a:ext cx="18002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</xdr:row>
      <xdr:rowOff>19050</xdr:rowOff>
    </xdr:from>
    <xdr:to>
      <xdr:col>2</xdr:col>
      <xdr:colOff>92190</xdr:colOff>
      <xdr:row>7</xdr:row>
      <xdr:rowOff>219075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C937677-97E0-40D2-9958-94BDEC8A2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04850"/>
          <a:ext cx="151141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34</xdr:row>
      <xdr:rowOff>85725</xdr:rowOff>
    </xdr:from>
    <xdr:to>
      <xdr:col>11</xdr:col>
      <xdr:colOff>1003742</xdr:colOff>
      <xdr:row>35</xdr:row>
      <xdr:rowOff>923925</xdr:rowOff>
    </xdr:to>
    <xdr:pic>
      <xdr:nvPicPr>
        <xdr:cNvPr id="3" name="Image 3">
          <a:extLst>
            <a:ext uri="{FF2B5EF4-FFF2-40B4-BE49-F238E27FC236}">
              <a16:creationId xmlns:a16="http://schemas.microsoft.com/office/drawing/2014/main" id="{FB8690CA-9C51-482F-BE4A-3F048D9CD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6981825"/>
          <a:ext cx="2461067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fichier%20TMP\Nouveau%20dossier\pf\BL-FA\0-DOC\Nouveau%20dossier\2026(1)%20PF_245-344.xlsx" TargetMode="External"/><Relationship Id="rId1" Type="http://schemas.openxmlformats.org/officeDocument/2006/relationships/externalLinkPath" Target="2026(1)%20PF_245-34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fichier%20TMP\Nouveau%20dossier\pf\BL-FA\0-DOC\Nouveau%20dossier\2026(3)%20FA_051-100.xlsx" TargetMode="External"/><Relationship Id="rId1" Type="http://schemas.openxmlformats.org/officeDocument/2006/relationships/externalLinkPath" Target="2026(3)%20FA_051-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vola"/>
      <sheetName val="Code client"/>
      <sheetName val="250"/>
      <sheetName val="249"/>
      <sheetName val="248"/>
      <sheetName val="247"/>
      <sheetName val="246"/>
      <sheetName val="241-2"/>
      <sheetName val="245"/>
      <sheetName val="241-1"/>
      <sheetName val="12-1"/>
      <sheetName val="113list"/>
      <sheetName val="RJM (2)"/>
      <sheetName val="RJM"/>
      <sheetName val="Feuil4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 client"/>
      <sheetName val="64"/>
      <sheetName val="63"/>
      <sheetName val="62"/>
      <sheetName val="61"/>
      <sheetName val="60"/>
      <sheetName val="59"/>
      <sheetName val="58"/>
      <sheetName val="57"/>
      <sheetName val="56"/>
      <sheetName val="55"/>
      <sheetName val="54"/>
      <sheetName val="53"/>
      <sheetName val="52"/>
      <sheetName val="51"/>
      <sheetName val="CA2026"/>
      <sheetName val="impayé"/>
      <sheetName val="festo"/>
      <sheetName val="Feuil3"/>
      <sheetName val="Feuil2"/>
      <sheetName val="CA2025"/>
      <sheetName val="bc16"/>
      <sheetName val="bc15"/>
      <sheetName val="bc14"/>
      <sheetName val="bc13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B045-1D96-451D-8E81-01D7D9915EBA}">
  <dimension ref="A1:K65"/>
  <sheetViews>
    <sheetView tabSelected="1" zoomScale="80" zoomScaleNormal="80" workbookViewId="0">
      <pane ySplit="1" topLeftCell="A2" activePane="bottomLeft" state="frozen"/>
      <selection pane="bottomLeft" activeCell="H13" sqref="H13"/>
    </sheetView>
  </sheetViews>
  <sheetFormatPr baseColWidth="10" defaultRowHeight="12.75" x14ac:dyDescent="0.2"/>
  <cols>
    <col min="1" max="1" width="6.85546875" style="158" customWidth="1"/>
    <col min="2" max="3" width="45.28515625" style="158" customWidth="1"/>
    <col min="4" max="4" width="14.140625" style="158" bestFit="1" customWidth="1"/>
    <col min="5" max="8" width="10.7109375" style="158" customWidth="1"/>
    <col min="9" max="10" width="15.7109375" style="158" customWidth="1"/>
    <col min="11" max="16384" width="11.42578125" style="158"/>
  </cols>
  <sheetData>
    <row r="1" spans="1:11" s="155" customFormat="1" ht="33" customHeight="1" x14ac:dyDescent="0.25">
      <c r="A1" s="153" t="s">
        <v>45</v>
      </c>
      <c r="B1" s="154" t="s">
        <v>46</v>
      </c>
      <c r="C1" s="154" t="s">
        <v>170</v>
      </c>
      <c r="D1" s="154" t="s">
        <v>184</v>
      </c>
      <c r="E1" s="154" t="s">
        <v>171</v>
      </c>
      <c r="F1" s="154" t="s">
        <v>172</v>
      </c>
      <c r="G1" s="154" t="s">
        <v>173</v>
      </c>
      <c r="H1" s="154" t="s">
        <v>174</v>
      </c>
      <c r="I1" s="154" t="s">
        <v>175</v>
      </c>
      <c r="J1" s="154" t="s">
        <v>176</v>
      </c>
      <c r="K1" s="154" t="s">
        <v>177</v>
      </c>
    </row>
    <row r="2" spans="1:11" x14ac:dyDescent="0.2">
      <c r="A2" s="156" t="s">
        <v>47</v>
      </c>
      <c r="B2" s="157" t="s">
        <v>48</v>
      </c>
      <c r="C2" s="157"/>
      <c r="D2" s="157" t="s">
        <v>49</v>
      </c>
      <c r="E2" s="157"/>
      <c r="F2" s="157"/>
      <c r="G2" s="157"/>
      <c r="H2" s="157"/>
      <c r="I2" s="157"/>
      <c r="J2" s="157"/>
      <c r="K2" s="157"/>
    </row>
    <row r="3" spans="1:11" x14ac:dyDescent="0.2">
      <c r="A3" s="156" t="s">
        <v>50</v>
      </c>
      <c r="B3" s="159" t="s">
        <v>51</v>
      </c>
      <c r="C3" s="159"/>
      <c r="D3" s="157" t="s">
        <v>52</v>
      </c>
      <c r="E3" s="157"/>
      <c r="F3" s="157"/>
      <c r="G3" s="157"/>
      <c r="H3" s="157"/>
      <c r="I3" s="157"/>
      <c r="J3" s="157"/>
      <c r="K3" s="157"/>
    </row>
    <row r="4" spans="1:11" x14ac:dyDescent="0.2">
      <c r="A4" s="156" t="s">
        <v>53</v>
      </c>
      <c r="B4" s="157" t="s">
        <v>54</v>
      </c>
      <c r="C4" s="157"/>
      <c r="D4" s="157" t="s">
        <v>52</v>
      </c>
      <c r="E4" s="157"/>
      <c r="F4" s="157"/>
      <c r="G4" s="157"/>
      <c r="H4" s="157"/>
      <c r="I4" s="157"/>
      <c r="J4" s="157"/>
      <c r="K4" s="157"/>
    </row>
    <row r="5" spans="1:11" x14ac:dyDescent="0.2">
      <c r="A5" s="156" t="s">
        <v>55</v>
      </c>
      <c r="B5" s="160" t="s">
        <v>56</v>
      </c>
      <c r="C5" s="160"/>
      <c r="D5" s="157" t="s">
        <v>57</v>
      </c>
      <c r="E5" s="157"/>
      <c r="F5" s="157"/>
      <c r="G5" s="157"/>
      <c r="H5" s="157"/>
      <c r="I5" s="157"/>
      <c r="J5" s="157"/>
      <c r="K5" s="157"/>
    </row>
    <row r="6" spans="1:11" x14ac:dyDescent="0.2">
      <c r="A6" s="156" t="s">
        <v>58</v>
      </c>
      <c r="B6" s="157" t="s">
        <v>59</v>
      </c>
      <c r="C6" s="157"/>
      <c r="D6" s="157" t="s">
        <v>49</v>
      </c>
      <c r="E6" s="157"/>
      <c r="F6" s="157"/>
      <c r="G6" s="157"/>
      <c r="H6" s="157"/>
      <c r="I6" s="157"/>
      <c r="J6" s="157"/>
      <c r="K6" s="157"/>
    </row>
    <row r="7" spans="1:11" x14ac:dyDescent="0.2">
      <c r="A7" s="156" t="s">
        <v>60</v>
      </c>
      <c r="B7" s="157" t="s">
        <v>61</v>
      </c>
      <c r="C7" s="157"/>
      <c r="D7" s="157" t="s">
        <v>52</v>
      </c>
      <c r="E7" s="157"/>
      <c r="F7" s="157"/>
      <c r="G7" s="157"/>
      <c r="H7" s="157"/>
      <c r="I7" s="157"/>
      <c r="J7" s="157"/>
      <c r="K7" s="157"/>
    </row>
    <row r="8" spans="1:11" x14ac:dyDescent="0.2">
      <c r="A8" s="156" t="s">
        <v>62</v>
      </c>
      <c r="B8" s="157" t="s">
        <v>63</v>
      </c>
      <c r="C8" s="157"/>
      <c r="D8" s="157" t="s">
        <v>64</v>
      </c>
      <c r="E8" s="157"/>
      <c r="F8" s="157"/>
      <c r="G8" s="157"/>
      <c r="H8" s="157"/>
      <c r="I8" s="157"/>
      <c r="J8" s="157"/>
      <c r="K8" s="157"/>
    </row>
    <row r="9" spans="1:11" x14ac:dyDescent="0.2">
      <c r="A9" s="156" t="s">
        <v>65</v>
      </c>
      <c r="B9" s="157" t="s">
        <v>66</v>
      </c>
      <c r="C9" s="157"/>
      <c r="D9" s="157" t="s">
        <v>49</v>
      </c>
      <c r="E9" s="157"/>
      <c r="F9" s="157"/>
      <c r="G9" s="157"/>
      <c r="H9" s="157"/>
      <c r="I9" s="157"/>
      <c r="J9" s="157"/>
      <c r="K9" s="157"/>
    </row>
    <row r="10" spans="1:11" x14ac:dyDescent="0.2">
      <c r="A10" s="156" t="s">
        <v>67</v>
      </c>
      <c r="B10" s="157" t="s">
        <v>68</v>
      </c>
      <c r="C10" s="157"/>
      <c r="D10" s="157" t="s">
        <v>52</v>
      </c>
      <c r="E10" s="157"/>
      <c r="F10" s="157"/>
      <c r="G10" s="157"/>
      <c r="H10" s="157"/>
      <c r="I10" s="157"/>
      <c r="J10" s="157"/>
      <c r="K10" s="157"/>
    </row>
    <row r="11" spans="1:11" x14ac:dyDescent="0.2">
      <c r="A11" s="156" t="s">
        <v>69</v>
      </c>
      <c r="B11" s="157" t="s">
        <v>70</v>
      </c>
      <c r="C11" s="157"/>
      <c r="D11" s="157" t="s">
        <v>52</v>
      </c>
      <c r="E11" s="157"/>
      <c r="F11" s="157"/>
      <c r="G11" s="157"/>
      <c r="H11" s="157"/>
      <c r="I11" s="157"/>
      <c r="J11" s="157"/>
      <c r="K11" s="157"/>
    </row>
    <row r="12" spans="1:11" x14ac:dyDescent="0.2">
      <c r="A12" s="156" t="s">
        <v>71</v>
      </c>
      <c r="B12" s="157" t="s">
        <v>72</v>
      </c>
      <c r="C12" s="157"/>
      <c r="D12" s="157" t="s">
        <v>73</v>
      </c>
      <c r="E12" s="157"/>
      <c r="F12" s="157"/>
      <c r="G12" s="157"/>
      <c r="H12" s="157"/>
      <c r="I12" s="157"/>
      <c r="J12" s="157"/>
      <c r="K12" s="157"/>
    </row>
    <row r="13" spans="1:11" x14ac:dyDescent="0.2">
      <c r="A13" s="156" t="s">
        <v>74</v>
      </c>
      <c r="B13" s="157" t="s">
        <v>75</v>
      </c>
      <c r="C13" s="157"/>
      <c r="D13" s="157" t="s">
        <v>49</v>
      </c>
      <c r="E13" s="157"/>
      <c r="F13" s="157"/>
      <c r="G13" s="157"/>
      <c r="H13" s="157"/>
      <c r="I13" s="157"/>
      <c r="J13" s="157"/>
      <c r="K13" s="157"/>
    </row>
    <row r="14" spans="1:11" x14ac:dyDescent="0.2">
      <c r="A14" s="156" t="s">
        <v>76</v>
      </c>
      <c r="B14" s="157" t="s">
        <v>77</v>
      </c>
      <c r="C14" s="157"/>
      <c r="D14" s="157" t="s">
        <v>64</v>
      </c>
      <c r="E14" s="157"/>
      <c r="F14" s="157"/>
      <c r="G14" s="157"/>
      <c r="H14" s="157"/>
      <c r="I14" s="157"/>
      <c r="J14" s="157"/>
      <c r="K14" s="157"/>
    </row>
    <row r="15" spans="1:11" x14ac:dyDescent="0.2">
      <c r="A15" s="156" t="s">
        <v>78</v>
      </c>
      <c r="B15" s="157" t="s">
        <v>79</v>
      </c>
      <c r="C15" s="157"/>
      <c r="D15" s="157" t="s">
        <v>52</v>
      </c>
      <c r="E15" s="157"/>
      <c r="F15" s="157"/>
      <c r="G15" s="157"/>
      <c r="H15" s="157"/>
      <c r="I15" s="157"/>
      <c r="J15" s="157"/>
      <c r="K15" s="157"/>
    </row>
    <row r="16" spans="1:11" x14ac:dyDescent="0.2">
      <c r="A16" s="156" t="s">
        <v>80</v>
      </c>
      <c r="B16" s="157" t="s">
        <v>81</v>
      </c>
      <c r="C16" s="157"/>
      <c r="D16" s="157" t="s">
        <v>82</v>
      </c>
      <c r="E16" s="157"/>
      <c r="F16" s="157"/>
      <c r="G16" s="157"/>
      <c r="H16" s="157"/>
      <c r="I16" s="157"/>
      <c r="J16" s="157"/>
      <c r="K16" s="157"/>
    </row>
    <row r="17" spans="1:11" x14ac:dyDescent="0.2">
      <c r="A17" s="156" t="s">
        <v>83</v>
      </c>
      <c r="B17" s="157" t="s">
        <v>84</v>
      </c>
      <c r="C17" s="157"/>
      <c r="D17" s="157" t="s">
        <v>49</v>
      </c>
      <c r="E17" s="157"/>
      <c r="F17" s="157"/>
      <c r="G17" s="157"/>
      <c r="H17" s="157"/>
      <c r="I17" s="157"/>
      <c r="J17" s="157"/>
      <c r="K17" s="157"/>
    </row>
    <row r="18" spans="1:11" x14ac:dyDescent="0.2">
      <c r="A18" s="156" t="s">
        <v>85</v>
      </c>
      <c r="B18" s="157" t="s">
        <v>86</v>
      </c>
      <c r="C18" s="157"/>
      <c r="D18" s="157" t="s">
        <v>49</v>
      </c>
      <c r="E18" s="157"/>
      <c r="F18" s="157"/>
      <c r="G18" s="157"/>
      <c r="H18" s="157"/>
      <c r="I18" s="157"/>
      <c r="J18" s="157"/>
      <c r="K18" s="157"/>
    </row>
    <row r="19" spans="1:11" x14ac:dyDescent="0.2">
      <c r="A19" s="156" t="s">
        <v>87</v>
      </c>
      <c r="B19" s="157" t="s">
        <v>88</v>
      </c>
      <c r="C19" s="157"/>
      <c r="D19" s="157" t="s">
        <v>52</v>
      </c>
      <c r="E19" s="157"/>
      <c r="F19" s="157"/>
      <c r="G19" s="157"/>
      <c r="H19" s="157"/>
      <c r="I19" s="157"/>
      <c r="J19" s="157"/>
      <c r="K19" s="157"/>
    </row>
    <row r="20" spans="1:11" x14ac:dyDescent="0.2">
      <c r="A20" s="156" t="s">
        <v>89</v>
      </c>
      <c r="B20" s="157" t="s">
        <v>90</v>
      </c>
      <c r="C20" s="157"/>
      <c r="D20" s="157" t="s">
        <v>49</v>
      </c>
      <c r="E20" s="157"/>
      <c r="F20" s="157"/>
      <c r="G20" s="157"/>
      <c r="H20" s="157"/>
      <c r="I20" s="157"/>
      <c r="J20" s="157"/>
      <c r="K20" s="157"/>
    </row>
    <row r="21" spans="1:11" x14ac:dyDescent="0.2">
      <c r="A21" s="156" t="s">
        <v>91</v>
      </c>
      <c r="B21" s="157" t="s">
        <v>92</v>
      </c>
      <c r="C21" s="157"/>
      <c r="D21" s="157" t="s">
        <v>49</v>
      </c>
      <c r="E21" s="157"/>
      <c r="F21" s="157"/>
      <c r="G21" s="157"/>
      <c r="H21" s="157"/>
      <c r="I21" s="157"/>
      <c r="J21" s="157"/>
      <c r="K21" s="157"/>
    </row>
    <row r="22" spans="1:11" x14ac:dyDescent="0.2">
      <c r="A22" s="156" t="s">
        <v>93</v>
      </c>
      <c r="B22" s="157" t="s">
        <v>94</v>
      </c>
      <c r="C22" s="157"/>
      <c r="D22" s="157" t="s">
        <v>95</v>
      </c>
      <c r="E22" s="157"/>
      <c r="F22" s="157"/>
      <c r="G22" s="157"/>
      <c r="H22" s="157"/>
      <c r="I22" s="157"/>
      <c r="J22" s="157"/>
      <c r="K22" s="157"/>
    </row>
    <row r="23" spans="1:11" x14ac:dyDescent="0.2">
      <c r="A23" s="156" t="s">
        <v>96</v>
      </c>
      <c r="B23" s="157" t="s">
        <v>97</v>
      </c>
      <c r="C23" s="157"/>
      <c r="D23" s="157" t="s">
        <v>98</v>
      </c>
      <c r="E23" s="157"/>
      <c r="F23" s="157"/>
      <c r="G23" s="157"/>
      <c r="H23" s="157"/>
      <c r="I23" s="157"/>
      <c r="J23" s="157"/>
      <c r="K23" s="157"/>
    </row>
    <row r="24" spans="1:11" x14ac:dyDescent="0.2">
      <c r="A24" s="156" t="s">
        <v>99</v>
      </c>
      <c r="B24" s="157" t="s">
        <v>100</v>
      </c>
      <c r="C24" s="157"/>
      <c r="D24" s="157" t="s">
        <v>101</v>
      </c>
      <c r="E24" s="157"/>
      <c r="F24" s="157"/>
      <c r="G24" s="157"/>
      <c r="H24" s="157"/>
      <c r="I24" s="157"/>
      <c r="J24" s="157"/>
      <c r="K24" s="157"/>
    </row>
    <row r="25" spans="1:11" x14ac:dyDescent="0.2">
      <c r="A25" s="156" t="s">
        <v>102</v>
      </c>
      <c r="B25" s="157" t="s">
        <v>103</v>
      </c>
      <c r="C25" s="157"/>
      <c r="D25" s="157" t="s">
        <v>49</v>
      </c>
      <c r="E25" s="157"/>
      <c r="F25" s="157"/>
      <c r="G25" s="157"/>
      <c r="H25" s="157"/>
      <c r="I25" s="157"/>
      <c r="J25" s="157"/>
      <c r="K25" s="157"/>
    </row>
    <row r="26" spans="1:11" x14ac:dyDescent="0.2">
      <c r="A26" s="156" t="s">
        <v>104</v>
      </c>
      <c r="B26" s="157" t="s">
        <v>105</v>
      </c>
      <c r="C26" s="157"/>
      <c r="D26" s="157" t="s">
        <v>101</v>
      </c>
      <c r="E26" s="157"/>
      <c r="F26" s="157"/>
      <c r="G26" s="157"/>
      <c r="H26" s="157"/>
      <c r="I26" s="157"/>
      <c r="J26" s="157"/>
      <c r="K26" s="157"/>
    </row>
    <row r="27" spans="1:11" x14ac:dyDescent="0.2">
      <c r="A27" s="156" t="s">
        <v>106</v>
      </c>
      <c r="B27" s="157" t="s">
        <v>107</v>
      </c>
      <c r="C27" s="157"/>
      <c r="D27" s="157" t="s">
        <v>52</v>
      </c>
      <c r="E27" s="157"/>
      <c r="F27" s="157"/>
      <c r="G27" s="157"/>
      <c r="H27" s="157"/>
      <c r="I27" s="157"/>
      <c r="J27" s="157"/>
      <c r="K27" s="157"/>
    </row>
    <row r="28" spans="1:11" x14ac:dyDescent="0.2">
      <c r="A28" s="156" t="s">
        <v>108</v>
      </c>
      <c r="B28" s="157" t="s">
        <v>109</v>
      </c>
      <c r="C28" s="157"/>
      <c r="D28" s="157" t="s">
        <v>101</v>
      </c>
      <c r="E28" s="157"/>
      <c r="F28" s="157"/>
      <c r="G28" s="157"/>
      <c r="H28" s="157"/>
      <c r="I28" s="157"/>
      <c r="J28" s="157"/>
      <c r="K28" s="157"/>
    </row>
    <row r="29" spans="1:11" x14ac:dyDescent="0.2">
      <c r="A29" s="156" t="s">
        <v>110</v>
      </c>
      <c r="B29" s="157" t="s">
        <v>111</v>
      </c>
      <c r="C29" s="157"/>
      <c r="D29" s="157" t="s">
        <v>49</v>
      </c>
      <c r="E29" s="157"/>
      <c r="F29" s="157"/>
      <c r="G29" s="157"/>
      <c r="H29" s="157"/>
      <c r="I29" s="157"/>
      <c r="J29" s="157"/>
      <c r="K29" s="157"/>
    </row>
    <row r="30" spans="1:11" x14ac:dyDescent="0.2">
      <c r="A30" s="156" t="s">
        <v>112</v>
      </c>
      <c r="B30" s="157" t="s">
        <v>113</v>
      </c>
      <c r="C30" s="157"/>
      <c r="D30" s="157" t="s">
        <v>52</v>
      </c>
      <c r="E30" s="157"/>
      <c r="F30" s="157"/>
      <c r="G30" s="157"/>
      <c r="H30" s="157"/>
      <c r="I30" s="157"/>
      <c r="J30" s="157"/>
      <c r="K30" s="157"/>
    </row>
    <row r="31" spans="1:11" x14ac:dyDescent="0.2">
      <c r="A31" s="156" t="s">
        <v>114</v>
      </c>
      <c r="B31" s="157" t="s">
        <v>115</v>
      </c>
      <c r="C31" s="157"/>
      <c r="D31" s="157" t="s">
        <v>52</v>
      </c>
      <c r="E31" s="157"/>
      <c r="F31" s="157"/>
      <c r="G31" s="157"/>
      <c r="H31" s="157"/>
      <c r="I31" s="157"/>
      <c r="J31" s="157"/>
      <c r="K31" s="157"/>
    </row>
    <row r="32" spans="1:11" x14ac:dyDescent="0.2">
      <c r="A32" s="156" t="s">
        <v>116</v>
      </c>
      <c r="B32" s="157" t="s">
        <v>117</v>
      </c>
      <c r="C32" s="157"/>
      <c r="D32" s="157" t="s">
        <v>49</v>
      </c>
      <c r="E32" s="157"/>
      <c r="F32" s="157"/>
      <c r="G32" s="157"/>
      <c r="H32" s="157"/>
      <c r="I32" s="157"/>
      <c r="J32" s="157"/>
      <c r="K32" s="157"/>
    </row>
    <row r="33" spans="1:11" x14ac:dyDescent="0.2">
      <c r="A33" s="156" t="s">
        <v>118</v>
      </c>
      <c r="B33" s="157" t="s">
        <v>119</v>
      </c>
      <c r="C33" s="157"/>
      <c r="D33" s="157" t="s">
        <v>49</v>
      </c>
      <c r="E33" s="157"/>
      <c r="F33" s="157"/>
      <c r="G33" s="157"/>
      <c r="H33" s="157"/>
      <c r="I33" s="157"/>
      <c r="J33" s="157"/>
      <c r="K33" s="157"/>
    </row>
    <row r="34" spans="1:11" x14ac:dyDescent="0.2">
      <c r="A34" s="156" t="s">
        <v>120</v>
      </c>
      <c r="B34" s="157" t="s">
        <v>121</v>
      </c>
      <c r="C34" s="157"/>
      <c r="D34" s="157" t="s">
        <v>49</v>
      </c>
      <c r="E34" s="157"/>
      <c r="F34" s="157"/>
      <c r="G34" s="157"/>
      <c r="H34" s="157"/>
      <c r="I34" s="157"/>
      <c r="J34" s="157"/>
      <c r="K34" s="157"/>
    </row>
    <row r="35" spans="1:11" x14ac:dyDescent="0.2">
      <c r="A35" s="156" t="s">
        <v>122</v>
      </c>
      <c r="B35" s="161" t="s">
        <v>123</v>
      </c>
      <c r="C35" s="161"/>
      <c r="D35" s="157" t="s">
        <v>124</v>
      </c>
      <c r="E35" s="157"/>
      <c r="F35" s="157"/>
      <c r="G35" s="157"/>
      <c r="H35" s="157"/>
      <c r="I35" s="157"/>
      <c r="J35" s="157"/>
      <c r="K35" s="157"/>
    </row>
    <row r="36" spans="1:11" x14ac:dyDescent="0.2">
      <c r="A36" s="156" t="s">
        <v>125</v>
      </c>
      <c r="B36" s="157" t="s">
        <v>126</v>
      </c>
      <c r="C36" s="157"/>
      <c r="D36" s="157" t="s">
        <v>52</v>
      </c>
      <c r="E36" s="157"/>
      <c r="F36" s="157"/>
      <c r="G36" s="157"/>
      <c r="H36" s="157"/>
      <c r="I36" s="157"/>
      <c r="J36" s="157"/>
      <c r="K36" s="157"/>
    </row>
    <row r="37" spans="1:11" x14ac:dyDescent="0.2">
      <c r="A37" s="156" t="s">
        <v>127</v>
      </c>
      <c r="B37" s="157" t="s">
        <v>128</v>
      </c>
      <c r="C37" s="157"/>
      <c r="D37" s="157" t="s">
        <v>52</v>
      </c>
      <c r="E37" s="157"/>
      <c r="F37" s="157"/>
      <c r="G37" s="157"/>
      <c r="H37" s="157"/>
      <c r="I37" s="157"/>
      <c r="J37" s="157"/>
      <c r="K37" s="157"/>
    </row>
    <row r="38" spans="1:11" x14ac:dyDescent="0.2">
      <c r="A38" s="156" t="s">
        <v>129</v>
      </c>
      <c r="B38" s="157" t="s">
        <v>130</v>
      </c>
      <c r="C38" s="157"/>
      <c r="D38" s="157" t="s">
        <v>49</v>
      </c>
      <c r="E38" s="157"/>
      <c r="F38" s="157"/>
      <c r="G38" s="157"/>
      <c r="H38" s="157"/>
      <c r="I38" s="157"/>
      <c r="J38" s="157"/>
      <c r="K38" s="157"/>
    </row>
    <row r="39" spans="1:11" x14ac:dyDescent="0.2">
      <c r="A39" s="156" t="s">
        <v>131</v>
      </c>
      <c r="B39" s="157" t="s">
        <v>132</v>
      </c>
      <c r="C39" s="157"/>
      <c r="D39" s="157" t="s">
        <v>52</v>
      </c>
      <c r="E39" s="157"/>
      <c r="F39" s="157"/>
      <c r="G39" s="157"/>
      <c r="H39" s="157"/>
      <c r="I39" s="157"/>
      <c r="J39" s="157"/>
      <c r="K39" s="157"/>
    </row>
    <row r="40" spans="1:11" x14ac:dyDescent="0.2">
      <c r="A40" s="156" t="s">
        <v>133</v>
      </c>
      <c r="B40" s="157" t="s">
        <v>134</v>
      </c>
      <c r="C40" s="157"/>
      <c r="D40" s="157" t="s">
        <v>95</v>
      </c>
      <c r="E40" s="157"/>
      <c r="F40" s="157"/>
      <c r="G40" s="157"/>
      <c r="H40" s="157"/>
      <c r="I40" s="157"/>
      <c r="J40" s="157"/>
      <c r="K40" s="157"/>
    </row>
    <row r="41" spans="1:11" x14ac:dyDescent="0.2">
      <c r="A41" s="156" t="s">
        <v>135</v>
      </c>
      <c r="B41" s="157" t="s">
        <v>136</v>
      </c>
      <c r="C41" s="157"/>
      <c r="D41" s="157" t="s">
        <v>52</v>
      </c>
      <c r="E41" s="157"/>
      <c r="F41" s="157"/>
      <c r="G41" s="157"/>
      <c r="H41" s="157"/>
      <c r="I41" s="157"/>
      <c r="J41" s="157"/>
      <c r="K41" s="157"/>
    </row>
    <row r="42" spans="1:11" x14ac:dyDescent="0.2">
      <c r="A42" s="156" t="s">
        <v>137</v>
      </c>
      <c r="B42" s="157" t="s">
        <v>138</v>
      </c>
      <c r="C42" s="157"/>
      <c r="D42" s="157" t="s">
        <v>52</v>
      </c>
      <c r="E42" s="157"/>
      <c r="F42" s="157"/>
      <c r="G42" s="157"/>
      <c r="H42" s="157"/>
      <c r="I42" s="157"/>
      <c r="J42" s="157"/>
      <c r="K42" s="157"/>
    </row>
    <row r="43" spans="1:11" x14ac:dyDescent="0.2">
      <c r="A43" s="156" t="s">
        <v>139</v>
      </c>
      <c r="B43" s="157" t="s">
        <v>140</v>
      </c>
      <c r="C43" s="157"/>
      <c r="D43" s="157" t="s">
        <v>57</v>
      </c>
      <c r="E43" s="157"/>
      <c r="F43" s="157"/>
      <c r="G43" s="157"/>
      <c r="H43" s="157"/>
      <c r="I43" s="157"/>
      <c r="J43" s="157"/>
      <c r="K43" s="157"/>
    </row>
    <row r="44" spans="1:11" x14ac:dyDescent="0.2">
      <c r="A44" s="156" t="s">
        <v>141</v>
      </c>
      <c r="B44" s="157" t="s">
        <v>142</v>
      </c>
      <c r="C44" s="157"/>
      <c r="D44" s="157" t="s">
        <v>52</v>
      </c>
      <c r="E44" s="157"/>
      <c r="F44" s="157"/>
      <c r="G44" s="157"/>
      <c r="H44" s="157"/>
      <c r="I44" s="157"/>
      <c r="J44" s="157"/>
      <c r="K44" s="157"/>
    </row>
    <row r="45" spans="1:11" x14ac:dyDescent="0.2">
      <c r="A45" s="156" t="s">
        <v>143</v>
      </c>
      <c r="B45" s="157" t="s">
        <v>144</v>
      </c>
      <c r="C45" s="157"/>
      <c r="D45" s="157" t="s">
        <v>52</v>
      </c>
      <c r="E45" s="157"/>
      <c r="F45" s="157"/>
      <c r="G45" s="157"/>
      <c r="H45" s="157"/>
      <c r="I45" s="157"/>
      <c r="J45" s="157"/>
      <c r="K45" s="157"/>
    </row>
    <row r="46" spans="1:11" x14ac:dyDescent="0.2">
      <c r="A46" s="156" t="s">
        <v>145</v>
      </c>
      <c r="B46" s="157" t="s">
        <v>146</v>
      </c>
      <c r="C46" s="157"/>
      <c r="D46" s="157" t="s">
        <v>52</v>
      </c>
      <c r="E46" s="157"/>
      <c r="F46" s="157"/>
      <c r="G46" s="157"/>
      <c r="H46" s="157"/>
      <c r="I46" s="157"/>
      <c r="J46" s="157"/>
      <c r="K46" s="157"/>
    </row>
    <row r="47" spans="1:11" x14ac:dyDescent="0.2">
      <c r="A47" s="156" t="s">
        <v>147</v>
      </c>
      <c r="B47" s="157" t="s">
        <v>148</v>
      </c>
      <c r="C47" s="157"/>
      <c r="D47" s="157" t="s">
        <v>52</v>
      </c>
      <c r="E47" s="157"/>
      <c r="F47" s="157"/>
      <c r="G47" s="157"/>
      <c r="H47" s="157"/>
      <c r="I47" s="157"/>
      <c r="J47" s="157"/>
      <c r="K47" s="157"/>
    </row>
    <row r="48" spans="1:11" x14ac:dyDescent="0.2">
      <c r="A48" s="156" t="s">
        <v>149</v>
      </c>
      <c r="B48" s="157" t="s">
        <v>150</v>
      </c>
      <c r="C48" s="157"/>
      <c r="D48" s="157" t="s">
        <v>49</v>
      </c>
      <c r="E48" s="157"/>
      <c r="F48" s="157"/>
      <c r="G48" s="157"/>
      <c r="H48" s="157"/>
      <c r="I48" s="157"/>
      <c r="J48" s="157"/>
      <c r="K48" s="157"/>
    </row>
    <row r="49" spans="1:11" x14ac:dyDescent="0.2">
      <c r="A49" s="156" t="s">
        <v>151</v>
      </c>
      <c r="B49" s="157" t="s">
        <v>121</v>
      </c>
      <c r="C49" s="157"/>
      <c r="D49" s="157" t="s">
        <v>49</v>
      </c>
      <c r="E49" s="157"/>
      <c r="F49" s="157"/>
      <c r="G49" s="157"/>
      <c r="H49" s="157"/>
      <c r="I49" s="157"/>
      <c r="J49" s="157"/>
      <c r="K49" s="157"/>
    </row>
    <row r="50" spans="1:11" x14ac:dyDescent="0.2">
      <c r="A50" s="156" t="s">
        <v>152</v>
      </c>
      <c r="B50" s="157" t="s">
        <v>153</v>
      </c>
      <c r="C50" s="157"/>
      <c r="D50" s="157" t="s">
        <v>49</v>
      </c>
      <c r="E50" s="157"/>
      <c r="F50" s="157"/>
      <c r="G50" s="157"/>
      <c r="H50" s="157"/>
      <c r="I50" s="157"/>
      <c r="J50" s="157"/>
      <c r="K50" s="157"/>
    </row>
    <row r="51" spans="1:11" x14ac:dyDescent="0.2">
      <c r="A51" s="156" t="s">
        <v>154</v>
      </c>
      <c r="B51" s="157" t="s">
        <v>155</v>
      </c>
      <c r="C51" s="157"/>
      <c r="D51" s="157" t="s">
        <v>52</v>
      </c>
      <c r="E51" s="157"/>
      <c r="F51" s="157"/>
      <c r="G51" s="157"/>
      <c r="H51" s="157"/>
      <c r="I51" s="157"/>
      <c r="J51" s="157"/>
      <c r="K51" s="157"/>
    </row>
    <row r="52" spans="1:11" x14ac:dyDescent="0.2">
      <c r="A52" s="156" t="s">
        <v>156</v>
      </c>
      <c r="B52" s="157" t="s">
        <v>157</v>
      </c>
      <c r="C52" s="157"/>
      <c r="D52" s="157" t="s">
        <v>52</v>
      </c>
      <c r="E52" s="157"/>
      <c r="F52" s="157"/>
      <c r="G52" s="157"/>
      <c r="H52" s="157"/>
      <c r="I52" s="157"/>
      <c r="J52" s="157"/>
      <c r="K52" s="157"/>
    </row>
    <row r="53" spans="1:11" x14ac:dyDescent="0.2">
      <c r="A53" s="156" t="s">
        <v>158</v>
      </c>
      <c r="B53" s="157" t="s">
        <v>159</v>
      </c>
      <c r="C53" s="157"/>
      <c r="D53" s="157" t="s">
        <v>57</v>
      </c>
      <c r="E53" s="157"/>
      <c r="F53" s="157"/>
      <c r="G53" s="157"/>
      <c r="H53" s="157"/>
      <c r="I53" s="157"/>
      <c r="J53" s="157"/>
      <c r="K53" s="157"/>
    </row>
    <row r="54" spans="1:11" x14ac:dyDescent="0.2">
      <c r="A54" s="156" t="s">
        <v>160</v>
      </c>
      <c r="B54" s="157" t="s">
        <v>161</v>
      </c>
      <c r="C54" s="157"/>
      <c r="D54" s="157" t="s">
        <v>52</v>
      </c>
      <c r="E54" s="157"/>
      <c r="F54" s="157"/>
      <c r="G54" s="157"/>
      <c r="H54" s="157"/>
      <c r="I54" s="157"/>
      <c r="J54" s="157"/>
      <c r="K54" s="157"/>
    </row>
    <row r="55" spans="1:11" x14ac:dyDescent="0.2">
      <c r="A55" s="156" t="s">
        <v>162</v>
      </c>
      <c r="B55" s="157" t="s">
        <v>163</v>
      </c>
      <c r="C55" s="157"/>
      <c r="D55" s="157" t="s">
        <v>95</v>
      </c>
      <c r="E55" s="157"/>
      <c r="F55" s="157"/>
      <c r="G55" s="157"/>
      <c r="H55" s="157"/>
      <c r="I55" s="157"/>
      <c r="J55" s="157"/>
      <c r="K55" s="157"/>
    </row>
    <row r="56" spans="1:11" x14ac:dyDescent="0.2">
      <c r="A56" s="156" t="s">
        <v>164</v>
      </c>
      <c r="B56" s="157" t="s">
        <v>165</v>
      </c>
      <c r="C56" s="157"/>
      <c r="D56" s="157" t="s">
        <v>52</v>
      </c>
      <c r="E56" s="157"/>
      <c r="F56" s="157"/>
      <c r="G56" s="157"/>
      <c r="H56" s="157"/>
      <c r="I56" s="157"/>
      <c r="J56" s="157"/>
      <c r="K56" s="157"/>
    </row>
    <row r="57" spans="1:11" x14ac:dyDescent="0.2">
      <c r="A57" s="156" t="s">
        <v>166</v>
      </c>
      <c r="B57" s="157" t="s">
        <v>167</v>
      </c>
      <c r="C57" s="157"/>
      <c r="D57" s="157" t="s">
        <v>49</v>
      </c>
      <c r="E57" s="157"/>
      <c r="F57" s="157"/>
      <c r="G57" s="157"/>
      <c r="H57" s="157"/>
      <c r="I57" s="157"/>
      <c r="J57" s="157"/>
      <c r="K57" s="157"/>
    </row>
    <row r="58" spans="1:11" x14ac:dyDescent="0.2">
      <c r="A58" s="156" t="s">
        <v>168</v>
      </c>
      <c r="B58" s="157" t="s">
        <v>169</v>
      </c>
      <c r="C58" s="157"/>
      <c r="D58" s="157" t="s">
        <v>52</v>
      </c>
      <c r="E58" s="157"/>
      <c r="F58" s="157"/>
      <c r="G58" s="157"/>
      <c r="H58" s="157"/>
      <c r="I58" s="157"/>
      <c r="J58" s="157"/>
      <c r="K58" s="157"/>
    </row>
    <row r="59" spans="1:11" x14ac:dyDescent="0.2">
      <c r="A59" s="156"/>
      <c r="B59" s="157"/>
      <c r="C59" s="157"/>
      <c r="D59" s="157"/>
      <c r="E59" s="157"/>
      <c r="F59" s="157"/>
      <c r="G59" s="157"/>
      <c r="H59" s="157"/>
      <c r="I59" s="157"/>
      <c r="J59" s="157"/>
      <c r="K59" s="157"/>
    </row>
    <row r="60" spans="1:11" x14ac:dyDescent="0.2">
      <c r="A60" s="156"/>
      <c r="B60" s="157"/>
      <c r="C60" s="157"/>
      <c r="D60" s="157"/>
      <c r="E60" s="157"/>
      <c r="F60" s="157"/>
      <c r="G60" s="157"/>
      <c r="H60" s="157"/>
      <c r="I60" s="157"/>
      <c r="J60" s="157"/>
      <c r="K60" s="157"/>
    </row>
    <row r="61" spans="1:11" x14ac:dyDescent="0.2">
      <c r="A61" s="162"/>
    </row>
    <row r="62" spans="1:11" x14ac:dyDescent="0.2">
      <c r="A62" s="162"/>
    </row>
    <row r="63" spans="1:11" x14ac:dyDescent="0.2">
      <c r="A63" s="162"/>
    </row>
    <row r="64" spans="1:11" x14ac:dyDescent="0.2">
      <c r="A64" s="162"/>
    </row>
    <row r="65" spans="1:1" x14ac:dyDescent="0.2">
      <c r="A65" s="1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C973-A8DB-41CC-A6A3-BD1D23F2E926}">
  <dimension ref="A1:F10"/>
  <sheetViews>
    <sheetView workbookViewId="0">
      <selection activeCell="J6" sqref="J6"/>
    </sheetView>
  </sheetViews>
  <sheetFormatPr baseColWidth="10" defaultRowHeight="15" x14ac:dyDescent="0.25"/>
  <cols>
    <col min="1" max="1" width="10.140625" bestFit="1" customWidth="1"/>
    <col min="2" max="2" width="11.5703125" bestFit="1" customWidth="1"/>
    <col min="3" max="3" width="9.5703125" bestFit="1" customWidth="1"/>
    <col min="4" max="4" width="5.42578125" bestFit="1" customWidth="1"/>
    <col min="5" max="5" width="14.7109375" bestFit="1" customWidth="1"/>
    <col min="6" max="6" width="16.42578125" bestFit="1" customWidth="1"/>
  </cols>
  <sheetData>
    <row r="1" spans="1:6" x14ac:dyDescent="0.25">
      <c r="A1" s="163" t="s">
        <v>178</v>
      </c>
      <c r="B1" s="163" t="s">
        <v>179</v>
      </c>
      <c r="C1" s="163" t="s">
        <v>182</v>
      </c>
      <c r="D1" s="163" t="s">
        <v>183</v>
      </c>
      <c r="E1" s="163" t="s">
        <v>180</v>
      </c>
      <c r="F1" s="163" t="s">
        <v>181</v>
      </c>
    </row>
    <row r="2" spans="1:6" x14ac:dyDescent="0.25">
      <c r="A2" s="163"/>
      <c r="B2" s="163"/>
      <c r="C2" s="163"/>
      <c r="D2" s="163"/>
      <c r="E2" s="163"/>
      <c r="F2" s="163"/>
    </row>
    <row r="3" spans="1:6" x14ac:dyDescent="0.25">
      <c r="A3" s="163"/>
      <c r="B3" s="163"/>
      <c r="C3" s="163"/>
      <c r="D3" s="163"/>
      <c r="E3" s="163"/>
      <c r="F3" s="163"/>
    </row>
    <row r="4" spans="1:6" x14ac:dyDescent="0.25">
      <c r="A4" s="163"/>
      <c r="B4" s="163"/>
      <c r="C4" s="163"/>
      <c r="D4" s="163"/>
      <c r="E4" s="163"/>
      <c r="F4" s="163"/>
    </row>
    <row r="5" spans="1:6" x14ac:dyDescent="0.25">
      <c r="A5" s="163"/>
      <c r="B5" s="163"/>
      <c r="C5" s="163"/>
      <c r="D5" s="163"/>
      <c r="E5" s="163"/>
      <c r="F5" s="163"/>
    </row>
    <row r="6" spans="1:6" x14ac:dyDescent="0.25">
      <c r="A6" s="163"/>
      <c r="B6" s="163"/>
      <c r="C6" s="163"/>
      <c r="D6" s="163"/>
      <c r="E6" s="163"/>
      <c r="F6" s="163"/>
    </row>
    <row r="7" spans="1:6" x14ac:dyDescent="0.25">
      <c r="A7" s="163"/>
      <c r="B7" s="163"/>
      <c r="C7" s="163"/>
      <c r="D7" s="163"/>
      <c r="E7" s="163"/>
      <c r="F7" s="163"/>
    </row>
    <row r="8" spans="1:6" x14ac:dyDescent="0.25">
      <c r="A8" s="163"/>
      <c r="B8" s="163"/>
      <c r="C8" s="163"/>
      <c r="D8" s="163"/>
      <c r="E8" s="163"/>
      <c r="F8" s="163"/>
    </row>
    <row r="9" spans="1:6" x14ac:dyDescent="0.25">
      <c r="A9" s="163"/>
      <c r="B9" s="163"/>
      <c r="C9" s="163"/>
      <c r="D9" s="163"/>
      <c r="E9" s="163"/>
      <c r="F9" s="163"/>
    </row>
    <row r="10" spans="1:6" x14ac:dyDescent="0.25">
      <c r="A10" s="163"/>
      <c r="B10" s="163"/>
      <c r="C10" s="163"/>
      <c r="D10" s="163"/>
      <c r="E10" s="163"/>
      <c r="F10" s="16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1073-FCE7-4C9D-8D12-F56A2EAAD147}">
  <dimension ref="A1:V40"/>
  <sheetViews>
    <sheetView zoomScaleNormal="100" workbookViewId="0">
      <selection activeCell="R9" sqref="R9"/>
    </sheetView>
  </sheetViews>
  <sheetFormatPr baseColWidth="10" defaultColWidth="9.140625" defaultRowHeight="11.25" x14ac:dyDescent="0.2"/>
  <cols>
    <col min="1" max="1" width="8.7109375" style="1" customWidth="1"/>
    <col min="2" max="2" width="13.7109375" style="1" customWidth="1"/>
    <col min="3" max="3" width="1.7109375" style="1" customWidth="1"/>
    <col min="4" max="4" width="10.42578125" style="1" customWidth="1"/>
    <col min="5" max="5" width="9.28515625" style="1" customWidth="1"/>
    <col min="6" max="6" width="6.7109375" style="1" customWidth="1"/>
    <col min="7" max="7" width="4.7109375" style="2" customWidth="1"/>
    <col min="8" max="8" width="4.7109375" style="1" customWidth="1"/>
    <col min="9" max="9" width="10.7109375" style="1" customWidth="1"/>
    <col min="10" max="10" width="7.28515625" style="1" customWidth="1"/>
    <col min="11" max="11" width="5.28515625" style="1" customWidth="1"/>
    <col min="12" max="12" width="15.7109375" style="1" customWidth="1"/>
    <col min="13" max="13" width="11.140625" style="1" hidden="1" customWidth="1"/>
    <col min="14" max="16" width="12" style="1" hidden="1" customWidth="1"/>
    <col min="17" max="17" width="5.140625" style="1" bestFit="1" customWidth="1"/>
    <col min="18" max="18" width="19.42578125" style="1" customWidth="1"/>
    <col min="19" max="20" width="7" style="1" customWidth="1"/>
    <col min="21" max="21" width="8.7109375" style="1" customWidth="1"/>
    <col min="22" max="22" width="4" style="1" customWidth="1"/>
    <col min="23" max="23" width="9.140625" style="1" customWidth="1"/>
    <col min="24" max="16384" width="9.140625" style="1"/>
  </cols>
  <sheetData>
    <row r="1" spans="1:22" ht="20.100000000000001" customHeight="1" x14ac:dyDescent="0.2">
      <c r="H1" s="3" t="s">
        <v>0</v>
      </c>
      <c r="I1" s="3"/>
      <c r="J1" s="3"/>
      <c r="K1" s="3"/>
      <c r="L1" s="3"/>
    </row>
    <row r="2" spans="1:22" ht="20.100000000000001" customHeight="1" x14ac:dyDescent="0.2">
      <c r="A2" s="4" t="s">
        <v>1</v>
      </c>
      <c r="B2" s="5"/>
      <c r="C2" s="5"/>
      <c r="D2" s="5"/>
      <c r="E2" s="5"/>
      <c r="F2" s="6"/>
      <c r="H2" s="7" t="s">
        <v>2</v>
      </c>
      <c r="I2" s="7"/>
      <c r="J2" s="7"/>
      <c r="K2" s="8" t="s">
        <v>3</v>
      </c>
      <c r="L2" s="8"/>
    </row>
    <row r="3" spans="1:22" ht="15" customHeight="1" x14ac:dyDescent="0.2">
      <c r="A3" s="9"/>
      <c r="D3" s="10" t="s">
        <v>4</v>
      </c>
      <c r="E3" s="11"/>
      <c r="F3" s="12"/>
      <c r="H3" s="7" t="s">
        <v>5</v>
      </c>
      <c r="I3" s="7"/>
      <c r="J3" s="7"/>
      <c r="K3" s="13">
        <v>46200</v>
      </c>
      <c r="L3" s="13"/>
    </row>
    <row r="4" spans="1:22" ht="20.100000000000001" customHeight="1" x14ac:dyDescent="0.2">
      <c r="A4" s="9"/>
      <c r="D4" s="11"/>
      <c r="E4" s="11"/>
      <c r="F4" s="12"/>
      <c r="H4" s="14" t="s">
        <v>6</v>
      </c>
      <c r="I4" s="14"/>
      <c r="J4" s="14"/>
      <c r="K4" s="14"/>
      <c r="L4" s="14"/>
    </row>
    <row r="5" spans="1:22" ht="20.100000000000001" customHeight="1" x14ac:dyDescent="0.2">
      <c r="A5" s="9"/>
      <c r="D5" s="11"/>
      <c r="E5" s="11"/>
      <c r="F5" s="12"/>
      <c r="H5" s="14"/>
      <c r="I5" s="14"/>
      <c r="J5" s="14"/>
      <c r="K5" s="14"/>
      <c r="L5" s="14"/>
    </row>
    <row r="6" spans="1:22" ht="20.100000000000001" customHeight="1" x14ac:dyDescent="0.2">
      <c r="A6" s="9"/>
      <c r="D6" s="11"/>
      <c r="E6" s="11"/>
      <c r="F6" s="12"/>
      <c r="H6" s="14"/>
      <c r="I6" s="14"/>
      <c r="J6" s="14"/>
      <c r="K6" s="14"/>
      <c r="L6" s="14"/>
    </row>
    <row r="7" spans="1:22" ht="20.100000000000001" customHeight="1" x14ac:dyDescent="0.2">
      <c r="A7" s="9"/>
      <c r="D7" s="11"/>
      <c r="E7" s="11"/>
      <c r="F7" s="12"/>
      <c r="H7" s="14"/>
      <c r="I7" s="14"/>
      <c r="J7" s="14"/>
      <c r="K7" s="14"/>
      <c r="L7" s="14"/>
    </row>
    <row r="8" spans="1:22" ht="20.100000000000001" customHeight="1" x14ac:dyDescent="0.2">
      <c r="A8" s="9"/>
      <c r="D8" s="11"/>
      <c r="E8" s="11"/>
      <c r="F8" s="12"/>
      <c r="H8" s="14"/>
      <c r="I8" s="14"/>
      <c r="J8" s="14"/>
      <c r="K8" s="14"/>
      <c r="L8" s="14"/>
    </row>
    <row r="9" spans="1:22" ht="18" customHeight="1" x14ac:dyDescent="0.2">
      <c r="A9" s="15"/>
      <c r="B9" s="16"/>
      <c r="C9" s="16"/>
      <c r="D9" s="17"/>
      <c r="E9" s="17"/>
      <c r="F9" s="18"/>
      <c r="H9" s="14"/>
      <c r="I9" s="14"/>
      <c r="J9" s="14"/>
      <c r="K9" s="14"/>
      <c r="L9" s="14"/>
    </row>
    <row r="10" spans="1:22" ht="20.100000000000001" customHeight="1" x14ac:dyDescent="0.2">
      <c r="H10" s="14"/>
      <c r="I10" s="14"/>
      <c r="J10" s="14"/>
      <c r="K10" s="14"/>
      <c r="L10" s="14"/>
    </row>
    <row r="11" spans="1:22" ht="9.9499999999999993" customHeight="1" x14ac:dyDescent="0.2"/>
    <row r="12" spans="1:22" s="22" customFormat="1" ht="15.95" customHeight="1" x14ac:dyDescent="0.25">
      <c r="A12" s="19" t="s">
        <v>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22" s="30" customFormat="1" ht="15.95" customHeight="1" x14ac:dyDescent="0.25">
      <c r="A13" s="23" t="s">
        <v>8</v>
      </c>
      <c r="B13" s="24" t="s">
        <v>9</v>
      </c>
      <c r="C13" s="24"/>
      <c r="D13" s="24"/>
      <c r="E13" s="24"/>
      <c r="F13" s="25"/>
      <c r="G13" s="26">
        <f>+K3+21</f>
        <v>46221</v>
      </c>
      <c r="H13" s="26"/>
      <c r="I13" s="26"/>
      <c r="J13" s="27">
        <v>0</v>
      </c>
      <c r="K13" s="28" t="s">
        <v>10</v>
      </c>
      <c r="L13" s="29" t="s">
        <v>11</v>
      </c>
      <c r="M13" s="30" t="s">
        <v>12</v>
      </c>
      <c r="N13" s="30">
        <v>4200</v>
      </c>
    </row>
    <row r="14" spans="1:22" s="30" customFormat="1" ht="3" customHeight="1" x14ac:dyDescent="0.25">
      <c r="A14" s="31"/>
      <c r="B14" s="25"/>
      <c r="C14" s="25"/>
      <c r="D14" s="25"/>
      <c r="E14" s="25"/>
      <c r="F14" s="25"/>
      <c r="G14" s="32"/>
      <c r="H14" s="28"/>
      <c r="I14" s="33"/>
      <c r="J14" s="27"/>
      <c r="K14" s="28"/>
      <c r="L14" s="34"/>
    </row>
    <row r="15" spans="1:22" s="22" customFormat="1" ht="24.95" customHeight="1" x14ac:dyDescent="0.25">
      <c r="A15" s="35" t="s">
        <v>13</v>
      </c>
      <c r="B15" s="35"/>
      <c r="C15" s="35"/>
      <c r="D15" s="35"/>
      <c r="E15" s="35"/>
      <c r="F15" s="35"/>
      <c r="G15" s="36" t="s">
        <v>14</v>
      </c>
      <c r="H15" s="36" t="s">
        <v>15</v>
      </c>
      <c r="I15" s="37" t="s">
        <v>16</v>
      </c>
      <c r="J15" s="37" t="s">
        <v>17</v>
      </c>
      <c r="K15" s="37" t="s">
        <v>18</v>
      </c>
      <c r="L15" s="36" t="s">
        <v>19</v>
      </c>
      <c r="M15" s="22" t="s">
        <v>20</v>
      </c>
      <c r="N15" s="38" t="s">
        <v>11</v>
      </c>
      <c r="O15" s="22">
        <v>1.3</v>
      </c>
      <c r="P15" s="22">
        <v>0.67500000000000004</v>
      </c>
    </row>
    <row r="16" spans="1:22" s="30" customFormat="1" ht="95.1" customHeight="1" x14ac:dyDescent="0.25">
      <c r="A16" s="39" t="s">
        <v>21</v>
      </c>
      <c r="B16" s="40"/>
      <c r="C16" s="40"/>
      <c r="D16" s="40"/>
      <c r="E16" s="40"/>
      <c r="F16" s="41"/>
      <c r="G16" s="42">
        <v>4</v>
      </c>
      <c r="H16" s="43" t="s">
        <v>22</v>
      </c>
      <c r="I16" s="44">
        <v>12450000</v>
      </c>
      <c r="J16" s="44"/>
      <c r="K16" s="45"/>
      <c r="L16" s="46">
        <f>+(I16-(I16*J16/100))*G16</f>
        <v>49800000</v>
      </c>
      <c r="M16" s="47">
        <v>2450</v>
      </c>
      <c r="N16" s="47">
        <f>+M16*N13</f>
        <v>10290000</v>
      </c>
      <c r="O16" s="47">
        <f>+N16*O15</f>
        <v>13377000</v>
      </c>
      <c r="P16" s="47">
        <f>+O16/P15</f>
        <v>19817777.777777776</v>
      </c>
      <c r="Q16" s="47"/>
      <c r="V16" s="48"/>
    </row>
    <row r="17" spans="1:16" s="30" customFormat="1" ht="14.1" customHeight="1" x14ac:dyDescent="0.25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4"/>
      <c r="L17" s="55"/>
      <c r="M17" s="47">
        <v>980</v>
      </c>
      <c r="N17" s="47"/>
      <c r="O17" s="47"/>
      <c r="P17" s="47"/>
    </row>
    <row r="18" spans="1:16" s="30" customFormat="1" ht="14.1" customHeight="1" x14ac:dyDescent="0.25">
      <c r="A18" s="56"/>
      <c r="B18" s="57"/>
      <c r="C18" s="57"/>
      <c r="D18" s="57"/>
      <c r="E18" s="57"/>
      <c r="F18" s="57"/>
      <c r="G18" s="51"/>
      <c r="H18" s="52"/>
      <c r="I18" s="53"/>
      <c r="J18" s="53"/>
      <c r="K18" s="54"/>
      <c r="L18" s="55"/>
      <c r="M18" s="47">
        <f>+M16/M17</f>
        <v>2.5</v>
      </c>
      <c r="N18" s="47"/>
      <c r="O18" s="47"/>
      <c r="P18" s="47"/>
    </row>
    <row r="19" spans="1:16" s="30" customFormat="1" ht="14.1" customHeight="1" x14ac:dyDescent="0.25">
      <c r="A19" s="56"/>
      <c r="B19" s="57"/>
      <c r="C19" s="57"/>
      <c r="D19" s="57"/>
      <c r="E19" s="57"/>
      <c r="F19" s="57"/>
      <c r="G19" s="51"/>
      <c r="H19" s="52"/>
      <c r="I19" s="53"/>
      <c r="J19" s="53"/>
      <c r="K19" s="54"/>
      <c r="L19" s="55"/>
      <c r="O19" s="58"/>
    </row>
    <row r="20" spans="1:16" s="30" customFormat="1" ht="14.1" customHeight="1" x14ac:dyDescent="0.25">
      <c r="A20" s="56"/>
      <c r="B20" s="57"/>
      <c r="C20" s="57"/>
      <c r="D20" s="57"/>
      <c r="E20" s="57"/>
      <c r="F20" s="57"/>
      <c r="G20" s="51"/>
      <c r="H20" s="52"/>
      <c r="I20" s="53"/>
      <c r="J20" s="53"/>
      <c r="K20" s="54"/>
      <c r="L20" s="55"/>
    </row>
    <row r="21" spans="1:16" s="30" customFormat="1" ht="14.1" customHeight="1" x14ac:dyDescent="0.25">
      <c r="A21" s="56"/>
      <c r="B21" s="57"/>
      <c r="C21" s="57"/>
      <c r="D21" s="57"/>
      <c r="E21" s="57"/>
      <c r="F21" s="57"/>
      <c r="G21" s="51"/>
      <c r="H21" s="52"/>
      <c r="I21" s="53"/>
      <c r="J21" s="53"/>
      <c r="K21" s="54"/>
      <c r="L21" s="55"/>
    </row>
    <row r="22" spans="1:16" s="30" customFormat="1" ht="14.1" customHeight="1" x14ac:dyDescent="0.25">
      <c r="A22" s="56"/>
      <c r="B22" s="57"/>
      <c r="C22" s="57"/>
      <c r="D22" s="57"/>
      <c r="E22" s="57"/>
      <c r="F22" s="57"/>
      <c r="G22" s="51"/>
      <c r="H22" s="52"/>
      <c r="I22" s="53"/>
      <c r="J22" s="53"/>
      <c r="K22" s="54"/>
      <c r="L22" s="55"/>
    </row>
    <row r="23" spans="1:16" s="30" customFormat="1" ht="14.1" customHeight="1" x14ac:dyDescent="0.25">
      <c r="A23" s="56"/>
      <c r="B23" s="57"/>
      <c r="C23" s="57"/>
      <c r="D23" s="57"/>
      <c r="E23" s="57"/>
      <c r="F23" s="57"/>
      <c r="G23" s="51"/>
      <c r="H23" s="52"/>
      <c r="I23" s="53"/>
      <c r="J23" s="53"/>
      <c r="K23" s="54"/>
      <c r="L23" s="55"/>
    </row>
    <row r="24" spans="1:16" s="30" customFormat="1" ht="14.1" customHeight="1" x14ac:dyDescent="0.25">
      <c r="A24" s="56"/>
      <c r="B24" s="57"/>
      <c r="C24" s="57"/>
      <c r="D24" s="57"/>
      <c r="E24" s="57"/>
      <c r="F24" s="57"/>
      <c r="G24" s="51"/>
      <c r="H24" s="52"/>
      <c r="I24" s="53"/>
      <c r="J24" s="53"/>
      <c r="K24" s="54"/>
      <c r="L24" s="55"/>
    </row>
    <row r="25" spans="1:16" s="30" customFormat="1" ht="75" customHeight="1" x14ac:dyDescent="0.25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4"/>
      <c r="L25" s="55"/>
    </row>
    <row r="26" spans="1:16" ht="69.95" customHeight="1" x14ac:dyDescent="0.2">
      <c r="A26" s="59"/>
      <c r="B26" s="16"/>
      <c r="C26" s="16"/>
      <c r="D26" s="16"/>
      <c r="E26" s="16"/>
      <c r="F26" s="60"/>
      <c r="G26" s="61"/>
      <c r="H26" s="61"/>
      <c r="I26" s="60"/>
      <c r="J26" s="60"/>
      <c r="K26" s="16"/>
      <c r="L26" s="62"/>
    </row>
    <row r="27" spans="1:16" ht="5.0999999999999996" customHeight="1" x14ac:dyDescent="0.2"/>
    <row r="28" spans="1:16" ht="20.100000000000001" customHeight="1" x14ac:dyDescent="0.2">
      <c r="A28" s="63" t="s">
        <v>23</v>
      </c>
      <c r="B28" s="63"/>
      <c r="C28" s="63"/>
      <c r="D28" s="63"/>
      <c r="E28" s="63"/>
      <c r="F28" s="63"/>
      <c r="G28" s="63"/>
      <c r="I28" s="7" t="s">
        <v>24</v>
      </c>
      <c r="J28" s="7"/>
      <c r="K28" s="64">
        <f>SUM(L16:L26)</f>
        <v>49800000</v>
      </c>
      <c r="L28" s="64"/>
    </row>
    <row r="29" spans="1:16" ht="20.100000000000001" customHeight="1" x14ac:dyDescent="0.2">
      <c r="A29" s="63"/>
      <c r="B29" s="63"/>
      <c r="C29" s="63"/>
      <c r="D29" s="63"/>
      <c r="E29" s="63"/>
      <c r="F29" s="63"/>
      <c r="G29" s="63"/>
      <c r="I29" s="7" t="s">
        <v>25</v>
      </c>
      <c r="J29" s="7"/>
      <c r="K29" s="64">
        <v>0</v>
      </c>
      <c r="L29" s="64"/>
    </row>
    <row r="30" spans="1:16" ht="20.100000000000001" customHeight="1" x14ac:dyDescent="0.2">
      <c r="A30" s="63"/>
      <c r="B30" s="63"/>
      <c r="C30" s="63"/>
      <c r="D30" s="63"/>
      <c r="E30" s="63"/>
      <c r="F30" s="63"/>
      <c r="G30" s="63"/>
      <c r="I30" s="7" t="s">
        <v>26</v>
      </c>
      <c r="J30" s="7"/>
      <c r="K30" s="64">
        <f>+K28</f>
        <v>49800000</v>
      </c>
      <c r="L30" s="64"/>
    </row>
    <row r="31" spans="1:16" ht="20.100000000000001" customHeight="1" x14ac:dyDescent="0.2">
      <c r="A31" s="63"/>
      <c r="B31" s="63"/>
      <c r="C31" s="63"/>
      <c r="D31" s="63"/>
      <c r="E31" s="63"/>
      <c r="F31" s="63"/>
      <c r="G31" s="63"/>
      <c r="I31" s="7" t="s">
        <v>27</v>
      </c>
      <c r="J31" s="7"/>
      <c r="K31" s="64">
        <f>+K30*0</f>
        <v>0</v>
      </c>
      <c r="L31" s="64"/>
    </row>
    <row r="32" spans="1:16" ht="3.95" customHeight="1" x14ac:dyDescent="0.2">
      <c r="A32" s="63"/>
      <c r="B32" s="63"/>
      <c r="C32" s="63"/>
      <c r="D32" s="63"/>
      <c r="E32" s="63"/>
      <c r="F32" s="63"/>
      <c r="G32" s="63"/>
      <c r="I32" s="65"/>
      <c r="J32" s="65"/>
    </row>
    <row r="33" spans="1:12" ht="24.95" customHeight="1" x14ac:dyDescent="0.2">
      <c r="A33" s="63"/>
      <c r="B33" s="63"/>
      <c r="C33" s="63"/>
      <c r="D33" s="63"/>
      <c r="E33" s="63"/>
      <c r="F33" s="63"/>
      <c r="G33" s="63"/>
      <c r="I33" s="66" t="s">
        <v>28</v>
      </c>
      <c r="J33" s="66"/>
      <c r="K33" s="67">
        <f>+K30+K31</f>
        <v>49800000</v>
      </c>
      <c r="L33" s="68"/>
    </row>
    <row r="34" spans="1:12" ht="24.95" customHeight="1" x14ac:dyDescent="0.2">
      <c r="A34" s="63"/>
      <c r="B34" s="63"/>
      <c r="C34" s="63"/>
      <c r="D34" s="63"/>
      <c r="E34" s="63"/>
      <c r="F34" s="63"/>
      <c r="G34" s="63"/>
      <c r="I34" s="69"/>
      <c r="J34" s="69"/>
      <c r="K34" s="70"/>
      <c r="L34" s="71"/>
    </row>
    <row r="35" spans="1:12" ht="3.95" customHeight="1" x14ac:dyDescent="0.2"/>
    <row r="36" spans="1:12" s="30" customFormat="1" ht="15" customHeight="1" x14ac:dyDescent="0.25">
      <c r="A36" s="72" t="s">
        <v>29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s="30" customFormat="1" ht="15" customHeight="1" x14ac:dyDescent="0.25">
      <c r="A37" s="75" t="s">
        <v>30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7"/>
    </row>
    <row r="38" spans="1:12" ht="15" customHeight="1" x14ac:dyDescent="0.2">
      <c r="A38" s="78" t="s">
        <v>31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80"/>
    </row>
    <row r="39" spans="1:12" ht="5.0999999999999996" customHeight="1" x14ac:dyDescent="0.2"/>
    <row r="40" spans="1:12" ht="24.95" hidden="1" customHeight="1" x14ac:dyDescent="0.2">
      <c r="A40" s="81" t="s">
        <v>32</v>
      </c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</row>
  </sheetData>
  <mergeCells count="30">
    <mergeCell ref="I33:J33"/>
    <mergeCell ref="K33:L33"/>
    <mergeCell ref="A36:L36"/>
    <mergeCell ref="A37:L37"/>
    <mergeCell ref="A38:L38"/>
    <mergeCell ref="A40:L40"/>
    <mergeCell ref="A25:F25"/>
    <mergeCell ref="A28:G34"/>
    <mergeCell ref="I28:J28"/>
    <mergeCell ref="K28:L28"/>
    <mergeCell ref="I29:J29"/>
    <mergeCell ref="K29:L29"/>
    <mergeCell ref="I30:J30"/>
    <mergeCell ref="K30:L30"/>
    <mergeCell ref="I31:J31"/>
    <mergeCell ref="K31:L31"/>
    <mergeCell ref="A12:L12"/>
    <mergeCell ref="B13:E13"/>
    <mergeCell ref="G13:I13"/>
    <mergeCell ref="A15:F15"/>
    <mergeCell ref="A16:F16"/>
    <mergeCell ref="A17:F17"/>
    <mergeCell ref="H1:L1"/>
    <mergeCell ref="A2:F2"/>
    <mergeCell ref="H2:J2"/>
    <mergeCell ref="K2:L2"/>
    <mergeCell ref="D3:F9"/>
    <mergeCell ref="H3:J3"/>
    <mergeCell ref="K3:L3"/>
    <mergeCell ref="H4:L10"/>
  </mergeCells>
  <pageMargins left="0.39370078740157483" right="0.23622047244094491" top="0.39370078740157483" bottom="0.39370078740157483" header="0" footer="0.19685039370078741"/>
  <pageSetup paperSize="9" orientation="portrait" r:id="rId1"/>
  <headerFooter>
    <oddFooter>&amp;L&amp;8Préparée par Manitra&amp;R&amp;"Arial,Gras"&amp;8&amp;D  &amp;T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20BB-B43A-4E7F-B337-FDAC1E6C2EB3}">
  <dimension ref="A1:T49"/>
  <sheetViews>
    <sheetView zoomScaleNormal="100" workbookViewId="0">
      <selection activeCell="W11" sqref="W11"/>
    </sheetView>
  </sheetViews>
  <sheetFormatPr baseColWidth="10" defaultColWidth="9.140625" defaultRowHeight="11.25" x14ac:dyDescent="0.2"/>
  <cols>
    <col min="1" max="1" width="8.7109375" style="83" customWidth="1"/>
    <col min="2" max="2" width="13.7109375" style="83" customWidth="1"/>
    <col min="3" max="3" width="1.7109375" style="83" customWidth="1"/>
    <col min="4" max="4" width="10.42578125" style="83" customWidth="1"/>
    <col min="5" max="5" width="9.28515625" style="83" customWidth="1"/>
    <col min="6" max="6" width="6.7109375" style="83" customWidth="1"/>
    <col min="7" max="8" width="4.7109375" style="83" customWidth="1"/>
    <col min="9" max="9" width="10.7109375" style="83" customWidth="1"/>
    <col min="10" max="10" width="7.28515625" style="83" customWidth="1"/>
    <col min="11" max="11" width="5.28515625" style="83" customWidth="1"/>
    <col min="12" max="12" width="15.7109375" style="83" customWidth="1"/>
    <col min="13" max="13" width="9.140625" style="83" hidden="1" customWidth="1"/>
    <col min="14" max="14" width="7" style="83" hidden="1" customWidth="1"/>
    <col min="15" max="16" width="6.140625" style="83" hidden="1" customWidth="1"/>
    <col min="17" max="18" width="7" style="83" hidden="1" customWidth="1"/>
    <col min="19" max="19" width="8.7109375" style="83" hidden="1" customWidth="1"/>
    <col min="20" max="20" width="4" style="83" hidden="1" customWidth="1"/>
    <col min="21" max="21" width="9.140625" style="83" customWidth="1"/>
    <col min="22" max="16384" width="9.140625" style="83"/>
  </cols>
  <sheetData>
    <row r="1" spans="1:19" ht="20.100000000000001" customHeight="1" x14ac:dyDescent="0.2">
      <c r="H1" s="3" t="s">
        <v>33</v>
      </c>
      <c r="I1" s="3"/>
      <c r="J1" s="3"/>
      <c r="K1" s="3"/>
      <c r="L1" s="3"/>
    </row>
    <row r="2" spans="1:19" ht="20.100000000000001" customHeight="1" x14ac:dyDescent="0.2">
      <c r="A2" s="84" t="s">
        <v>1</v>
      </c>
      <c r="B2" s="85"/>
      <c r="C2" s="85"/>
      <c r="D2" s="85"/>
      <c r="E2" s="85"/>
      <c r="F2" s="86"/>
      <c r="H2" s="7" t="s">
        <v>34</v>
      </c>
      <c r="I2" s="7"/>
      <c r="J2" s="7"/>
      <c r="K2" s="87" t="s">
        <v>35</v>
      </c>
      <c r="L2" s="87"/>
    </row>
    <row r="3" spans="1:19" ht="15" customHeight="1" x14ac:dyDescent="0.2">
      <c r="A3" s="88"/>
      <c r="D3" s="89" t="s">
        <v>4</v>
      </c>
      <c r="E3" s="90"/>
      <c r="F3" s="91"/>
      <c r="H3" s="92" t="s">
        <v>5</v>
      </c>
      <c r="I3" s="92"/>
      <c r="J3" s="92"/>
      <c r="K3" s="93">
        <v>46195</v>
      </c>
      <c r="L3" s="93"/>
    </row>
    <row r="4" spans="1:19" ht="20.100000000000001" customHeight="1" x14ac:dyDescent="0.2">
      <c r="A4" s="88"/>
      <c r="D4" s="90"/>
      <c r="E4" s="90"/>
      <c r="F4" s="91"/>
      <c r="H4" s="94" t="s">
        <v>36</v>
      </c>
      <c r="I4" s="94"/>
      <c r="J4" s="94"/>
      <c r="K4" s="94"/>
      <c r="L4" s="94"/>
    </row>
    <row r="5" spans="1:19" ht="20.100000000000001" customHeight="1" x14ac:dyDescent="0.2">
      <c r="A5" s="88"/>
      <c r="D5" s="90"/>
      <c r="E5" s="90"/>
      <c r="F5" s="91"/>
      <c r="H5" s="94"/>
      <c r="I5" s="94"/>
      <c r="J5" s="94"/>
      <c r="K5" s="94"/>
      <c r="L5" s="94"/>
    </row>
    <row r="6" spans="1:19" ht="20.100000000000001" customHeight="1" x14ac:dyDescent="0.2">
      <c r="A6" s="88"/>
      <c r="D6" s="90"/>
      <c r="E6" s="90"/>
      <c r="F6" s="91"/>
      <c r="H6" s="94"/>
      <c r="I6" s="94"/>
      <c r="J6" s="94"/>
      <c r="K6" s="94"/>
      <c r="L6" s="94"/>
    </row>
    <row r="7" spans="1:19" ht="20.100000000000001" customHeight="1" x14ac:dyDescent="0.2">
      <c r="A7" s="88"/>
      <c r="D7" s="90"/>
      <c r="E7" s="90"/>
      <c r="F7" s="91"/>
      <c r="H7" s="94"/>
      <c r="I7" s="94"/>
      <c r="J7" s="94"/>
      <c r="K7" s="94"/>
      <c r="L7" s="94"/>
    </row>
    <row r="8" spans="1:19" ht="20.100000000000001" customHeight="1" x14ac:dyDescent="0.2">
      <c r="A8" s="88"/>
      <c r="D8" s="90"/>
      <c r="E8" s="90"/>
      <c r="F8" s="91"/>
      <c r="H8" s="94"/>
      <c r="I8" s="94"/>
      <c r="J8" s="94"/>
      <c r="K8" s="94"/>
      <c r="L8" s="94"/>
    </row>
    <row r="9" spans="1:19" ht="18" customHeight="1" x14ac:dyDescent="0.2">
      <c r="A9" s="95"/>
      <c r="B9" s="96"/>
      <c r="C9" s="96"/>
      <c r="D9" s="97"/>
      <c r="E9" s="97"/>
      <c r="F9" s="98"/>
      <c r="H9" s="94"/>
      <c r="I9" s="94"/>
      <c r="J9" s="94"/>
      <c r="K9" s="94"/>
      <c r="L9" s="94"/>
    </row>
    <row r="10" spans="1:19" ht="20.100000000000001" customHeight="1" x14ac:dyDescent="0.2">
      <c r="H10" s="94"/>
      <c r="I10" s="94"/>
      <c r="J10" s="94"/>
      <c r="K10" s="94"/>
      <c r="L10" s="94"/>
    </row>
    <row r="11" spans="1:19" ht="9.9499999999999993" customHeight="1" x14ac:dyDescent="0.2"/>
    <row r="12" spans="1:19" s="99" customFormat="1" ht="15.95" customHeight="1" x14ac:dyDescent="0.25">
      <c r="A12" s="19" t="s">
        <v>37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9" s="107" customFormat="1" ht="15.95" customHeight="1" x14ac:dyDescent="0.25">
      <c r="A13" s="100" t="s">
        <v>38</v>
      </c>
      <c r="B13" s="101" t="s">
        <v>39</v>
      </c>
      <c r="C13" s="101"/>
      <c r="D13" s="101"/>
      <c r="E13" s="101"/>
      <c r="F13" s="102"/>
      <c r="G13" s="103">
        <v>46192</v>
      </c>
      <c r="H13" s="103"/>
      <c r="I13" s="103"/>
      <c r="J13" s="104">
        <v>0</v>
      </c>
      <c r="K13" s="105" t="s">
        <v>10</v>
      </c>
      <c r="L13" s="106" t="s">
        <v>11</v>
      </c>
      <c r="M13" s="107" t="s">
        <v>12</v>
      </c>
      <c r="N13" s="107">
        <v>4500</v>
      </c>
      <c r="R13" s="107">
        <v>1.4</v>
      </c>
    </row>
    <row r="14" spans="1:19" s="107" customFormat="1" ht="3" customHeight="1" x14ac:dyDescent="0.25">
      <c r="A14" s="108"/>
      <c r="B14" s="102"/>
      <c r="C14" s="102"/>
      <c r="D14" s="102"/>
      <c r="E14" s="102"/>
      <c r="F14" s="102"/>
      <c r="G14" s="105"/>
      <c r="H14" s="105"/>
      <c r="I14" s="109"/>
      <c r="J14" s="104"/>
      <c r="K14" s="105"/>
      <c r="L14" s="110"/>
    </row>
    <row r="15" spans="1:19" s="99" customFormat="1" ht="24.95" customHeight="1" x14ac:dyDescent="0.25">
      <c r="A15" s="111" t="s">
        <v>13</v>
      </c>
      <c r="B15" s="111"/>
      <c r="C15" s="111"/>
      <c r="D15" s="111"/>
      <c r="E15" s="111"/>
      <c r="F15" s="111"/>
      <c r="G15" s="112" t="s">
        <v>14</v>
      </c>
      <c r="H15" s="112" t="s">
        <v>15</v>
      </c>
      <c r="I15" s="113" t="s">
        <v>16</v>
      </c>
      <c r="J15" s="113" t="s">
        <v>17</v>
      </c>
      <c r="K15" s="113" t="s">
        <v>18</v>
      </c>
      <c r="L15" s="112" t="s">
        <v>19</v>
      </c>
      <c r="M15" s="99" t="s">
        <v>20</v>
      </c>
      <c r="N15" s="99" t="s">
        <v>11</v>
      </c>
      <c r="O15" s="99" t="s">
        <v>40</v>
      </c>
      <c r="P15" s="99" t="s">
        <v>40</v>
      </c>
      <c r="Q15" s="99" t="s">
        <v>41</v>
      </c>
      <c r="R15" s="99" t="s">
        <v>42</v>
      </c>
      <c r="S15" s="99">
        <v>1.6</v>
      </c>
    </row>
    <row r="16" spans="1:19" s="107" customFormat="1" ht="15" customHeight="1" x14ac:dyDescent="0.25">
      <c r="A16" s="114" t="s">
        <v>43</v>
      </c>
      <c r="B16" s="114"/>
      <c r="C16" s="114"/>
      <c r="D16" s="114"/>
      <c r="E16" s="114"/>
      <c r="F16" s="114"/>
      <c r="G16" s="115">
        <v>10</v>
      </c>
      <c r="H16" s="116" t="s">
        <v>22</v>
      </c>
      <c r="I16" s="117">
        <v>68000</v>
      </c>
      <c r="J16" s="117"/>
      <c r="K16" s="118"/>
      <c r="L16" s="119">
        <f t="shared" ref="L16" si="0">+(I16-(I16*J16/100))*G16</f>
        <v>680000</v>
      </c>
    </row>
    <row r="17" spans="1:12" s="107" customFormat="1" ht="15" customHeight="1" x14ac:dyDescent="0.25">
      <c r="A17" s="120"/>
      <c r="B17" s="121"/>
      <c r="C17" s="121"/>
      <c r="D17" s="121"/>
      <c r="E17" s="121"/>
      <c r="F17" s="121"/>
      <c r="G17" s="122"/>
      <c r="H17" s="123"/>
      <c r="I17" s="124"/>
      <c r="J17" s="124"/>
      <c r="K17" s="125"/>
      <c r="L17" s="126"/>
    </row>
    <row r="18" spans="1:12" s="107" customFormat="1" ht="15" customHeight="1" x14ac:dyDescent="0.25">
      <c r="A18" s="120"/>
      <c r="B18" s="121"/>
      <c r="C18" s="121"/>
      <c r="D18" s="121"/>
      <c r="E18" s="121"/>
      <c r="F18" s="121"/>
      <c r="G18" s="122"/>
      <c r="H18" s="123"/>
      <c r="I18" s="124"/>
      <c r="J18" s="124"/>
      <c r="K18" s="125"/>
      <c r="L18" s="126"/>
    </row>
    <row r="19" spans="1:12" s="107" customFormat="1" ht="15" customHeight="1" x14ac:dyDescent="0.25">
      <c r="A19" s="120"/>
      <c r="B19" s="121"/>
      <c r="C19" s="121"/>
      <c r="D19" s="121"/>
      <c r="E19" s="121"/>
      <c r="F19" s="121"/>
      <c r="G19" s="122"/>
      <c r="H19" s="123"/>
      <c r="I19" s="124"/>
      <c r="J19" s="124"/>
      <c r="K19" s="125"/>
      <c r="L19" s="126"/>
    </row>
    <row r="20" spans="1:12" s="107" customFormat="1" ht="15" customHeight="1" x14ac:dyDescent="0.25">
      <c r="A20" s="120"/>
      <c r="B20" s="121"/>
      <c r="C20" s="121"/>
      <c r="D20" s="121"/>
      <c r="E20" s="121"/>
      <c r="F20" s="121"/>
      <c r="G20" s="122"/>
      <c r="H20" s="123"/>
      <c r="I20" s="124"/>
      <c r="J20" s="124"/>
      <c r="K20" s="125"/>
      <c r="L20" s="126"/>
    </row>
    <row r="21" spans="1:12" s="107" customFormat="1" ht="15" customHeight="1" x14ac:dyDescent="0.25">
      <c r="A21" s="120"/>
      <c r="B21" s="121"/>
      <c r="C21" s="121"/>
      <c r="D21" s="121"/>
      <c r="E21" s="121"/>
      <c r="F21" s="121"/>
      <c r="G21" s="122"/>
      <c r="H21" s="123"/>
      <c r="I21" s="124"/>
      <c r="J21" s="124"/>
      <c r="K21" s="125"/>
      <c r="L21" s="126"/>
    </row>
    <row r="22" spans="1:12" s="107" customFormat="1" ht="15" customHeight="1" x14ac:dyDescent="0.25">
      <c r="A22" s="120"/>
      <c r="B22" s="121"/>
      <c r="C22" s="121"/>
      <c r="D22" s="121"/>
      <c r="E22" s="121"/>
      <c r="F22" s="121"/>
      <c r="G22" s="122"/>
      <c r="H22" s="123"/>
      <c r="I22" s="124"/>
      <c r="J22" s="124"/>
      <c r="K22" s="125"/>
      <c r="L22" s="126"/>
    </row>
    <row r="23" spans="1:12" s="107" customFormat="1" ht="15" customHeight="1" x14ac:dyDescent="0.25">
      <c r="A23" s="120"/>
      <c r="B23" s="121"/>
      <c r="C23" s="121"/>
      <c r="D23" s="121"/>
      <c r="E23" s="121"/>
      <c r="F23" s="121"/>
      <c r="G23" s="122"/>
      <c r="H23" s="123"/>
      <c r="I23" s="124"/>
      <c r="J23" s="124"/>
      <c r="K23" s="125"/>
      <c r="L23" s="126"/>
    </row>
    <row r="24" spans="1:12" s="107" customFormat="1" ht="15" customHeight="1" x14ac:dyDescent="0.25">
      <c r="A24" s="120"/>
      <c r="B24" s="121"/>
      <c r="C24" s="121"/>
      <c r="D24" s="121"/>
      <c r="E24" s="121"/>
      <c r="F24" s="121"/>
      <c r="G24" s="122"/>
      <c r="H24" s="123"/>
      <c r="I24" s="124"/>
      <c r="J24" s="124"/>
      <c r="K24" s="125"/>
      <c r="L24" s="126"/>
    </row>
    <row r="25" spans="1:12" s="107" customFormat="1" ht="15" customHeight="1" x14ac:dyDescent="0.25">
      <c r="A25" s="120"/>
      <c r="B25" s="121"/>
      <c r="C25" s="121"/>
      <c r="D25" s="121"/>
      <c r="E25" s="121"/>
      <c r="F25" s="121"/>
      <c r="G25" s="122"/>
      <c r="H25" s="123"/>
      <c r="I25" s="124"/>
      <c r="J25" s="124"/>
      <c r="K25" s="125"/>
      <c r="L25" s="126"/>
    </row>
    <row r="26" spans="1:12" s="107" customFormat="1" ht="15" customHeight="1" x14ac:dyDescent="0.25">
      <c r="A26" s="120"/>
      <c r="B26" s="121"/>
      <c r="C26" s="121"/>
      <c r="D26" s="121"/>
      <c r="E26" s="121"/>
      <c r="F26" s="121"/>
      <c r="G26" s="122"/>
      <c r="H26" s="123"/>
      <c r="I26" s="124"/>
      <c r="J26" s="124"/>
      <c r="K26" s="125"/>
      <c r="L26" s="126"/>
    </row>
    <row r="27" spans="1:12" s="107" customFormat="1" ht="15" customHeight="1" x14ac:dyDescent="0.25">
      <c r="A27" s="120"/>
      <c r="B27" s="121"/>
      <c r="C27" s="121"/>
      <c r="D27" s="121"/>
      <c r="E27" s="121"/>
      <c r="F27" s="121"/>
      <c r="G27" s="122"/>
      <c r="H27" s="123"/>
      <c r="I27" s="124"/>
      <c r="J27" s="124"/>
      <c r="K27" s="125"/>
      <c r="L27" s="126"/>
    </row>
    <row r="28" spans="1:12" s="107" customFormat="1" ht="15" customHeight="1" x14ac:dyDescent="0.25">
      <c r="A28" s="120"/>
      <c r="B28" s="121"/>
      <c r="C28" s="121"/>
      <c r="D28" s="121"/>
      <c r="E28" s="121"/>
      <c r="F28" s="121"/>
      <c r="G28" s="122"/>
      <c r="H28" s="123"/>
      <c r="I28" s="124"/>
      <c r="J28" s="124"/>
      <c r="K28" s="125"/>
      <c r="L28" s="126"/>
    </row>
    <row r="29" spans="1:12" s="107" customFormat="1" ht="15" customHeight="1" x14ac:dyDescent="0.25">
      <c r="A29" s="120"/>
      <c r="B29" s="121"/>
      <c r="C29" s="121"/>
      <c r="D29" s="121"/>
      <c r="E29" s="121"/>
      <c r="F29" s="121"/>
      <c r="G29" s="122"/>
      <c r="H29" s="123"/>
      <c r="I29" s="124"/>
      <c r="J29" s="124"/>
      <c r="K29" s="125"/>
      <c r="L29" s="126"/>
    </row>
    <row r="30" spans="1:12" s="107" customFormat="1" ht="15" customHeight="1" x14ac:dyDescent="0.25">
      <c r="A30" s="120"/>
      <c r="B30" s="121"/>
      <c r="C30" s="121"/>
      <c r="D30" s="121"/>
      <c r="E30" s="121"/>
      <c r="F30" s="121"/>
      <c r="G30" s="122"/>
      <c r="H30" s="123"/>
      <c r="I30" s="124"/>
      <c r="J30" s="124"/>
      <c r="K30" s="125"/>
      <c r="L30" s="126"/>
    </row>
    <row r="31" spans="1:12" s="107" customFormat="1" ht="15" customHeight="1" x14ac:dyDescent="0.25">
      <c r="A31" s="120"/>
      <c r="B31" s="121"/>
      <c r="C31" s="121"/>
      <c r="D31" s="121"/>
      <c r="E31" s="121"/>
      <c r="F31" s="121"/>
      <c r="G31" s="122"/>
      <c r="H31" s="123"/>
      <c r="I31" s="124"/>
      <c r="J31" s="124"/>
      <c r="K31" s="125"/>
      <c r="L31" s="126"/>
    </row>
    <row r="32" spans="1:12" s="107" customFormat="1" ht="15" customHeight="1" x14ac:dyDescent="0.25">
      <c r="A32" s="120"/>
      <c r="B32" s="121"/>
      <c r="C32" s="121"/>
      <c r="D32" s="121"/>
      <c r="E32" s="121"/>
      <c r="F32" s="121"/>
      <c r="G32" s="122"/>
      <c r="H32" s="123"/>
      <c r="I32" s="124"/>
      <c r="J32" s="124"/>
      <c r="K32" s="125"/>
      <c r="L32" s="126"/>
    </row>
    <row r="33" spans="1:12" s="107" customFormat="1" ht="15" customHeight="1" x14ac:dyDescent="0.25">
      <c r="A33" s="120"/>
      <c r="B33" s="121"/>
      <c r="C33" s="121"/>
      <c r="D33" s="121"/>
      <c r="E33" s="121"/>
      <c r="F33" s="121"/>
      <c r="G33" s="122"/>
      <c r="H33" s="123"/>
      <c r="I33" s="124"/>
      <c r="J33" s="124"/>
      <c r="K33" s="125"/>
      <c r="L33" s="126"/>
    </row>
    <row r="34" spans="1:12" s="107" customFormat="1" ht="15" customHeight="1" x14ac:dyDescent="0.25">
      <c r="A34" s="120"/>
      <c r="B34" s="121"/>
      <c r="C34" s="121"/>
      <c r="D34" s="121"/>
      <c r="E34" s="121"/>
      <c r="F34" s="121"/>
      <c r="G34" s="122"/>
      <c r="H34" s="123"/>
      <c r="I34" s="124"/>
      <c r="J34" s="124"/>
      <c r="K34" s="125"/>
      <c r="L34" s="126"/>
    </row>
    <row r="35" spans="1:12" s="107" customFormat="1" ht="15" customHeight="1" x14ac:dyDescent="0.25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5"/>
      <c r="L35" s="126"/>
    </row>
    <row r="36" spans="1:12" ht="75" customHeight="1" x14ac:dyDescent="0.2">
      <c r="A36" s="127"/>
      <c r="B36" s="96"/>
      <c r="C36" s="96"/>
      <c r="D36" s="96"/>
      <c r="E36" s="96"/>
      <c r="F36" s="128"/>
      <c r="G36" s="96"/>
      <c r="H36" s="129"/>
      <c r="I36" s="128"/>
      <c r="J36" s="128"/>
      <c r="K36" s="96"/>
      <c r="L36" s="130"/>
    </row>
    <row r="37" spans="1:12" ht="5.0999999999999996" customHeight="1" x14ac:dyDescent="0.2"/>
    <row r="38" spans="1:12" ht="20.100000000000001" customHeight="1" x14ac:dyDescent="0.2">
      <c r="A38" s="131" t="s">
        <v>44</v>
      </c>
      <c r="B38" s="132"/>
      <c r="C38" s="132"/>
      <c r="D38" s="132"/>
      <c r="E38" s="132"/>
      <c r="F38" s="132"/>
      <c r="G38" s="133"/>
      <c r="I38" s="134" t="s">
        <v>24</v>
      </c>
      <c r="J38" s="134"/>
      <c r="K38" s="135">
        <f>SUM(L16:L36)</f>
        <v>680000</v>
      </c>
      <c r="L38" s="135"/>
    </row>
    <row r="39" spans="1:12" ht="20.100000000000001" customHeight="1" x14ac:dyDescent="0.2">
      <c r="A39" s="136"/>
      <c r="B39" s="90"/>
      <c r="C39" s="90"/>
      <c r="D39" s="90"/>
      <c r="E39" s="90"/>
      <c r="F39" s="90"/>
      <c r="G39" s="91"/>
      <c r="I39" s="134" t="s">
        <v>25</v>
      </c>
      <c r="J39" s="134"/>
      <c r="K39" s="135">
        <v>0</v>
      </c>
      <c r="L39" s="135"/>
    </row>
    <row r="40" spans="1:12" ht="20.100000000000001" customHeight="1" x14ac:dyDescent="0.2">
      <c r="A40" s="136"/>
      <c r="B40" s="90"/>
      <c r="C40" s="90"/>
      <c r="D40" s="90"/>
      <c r="E40" s="90"/>
      <c r="F40" s="90"/>
      <c r="G40" s="91"/>
      <c r="I40" s="134" t="s">
        <v>26</v>
      </c>
      <c r="J40" s="134"/>
      <c r="K40" s="135">
        <f>+K38</f>
        <v>680000</v>
      </c>
      <c r="L40" s="135"/>
    </row>
    <row r="41" spans="1:12" ht="20.100000000000001" customHeight="1" x14ac:dyDescent="0.2">
      <c r="A41" s="136"/>
      <c r="B41" s="90"/>
      <c r="C41" s="90"/>
      <c r="D41" s="90"/>
      <c r="E41" s="90"/>
      <c r="F41" s="90"/>
      <c r="G41" s="91"/>
      <c r="I41" s="134" t="s">
        <v>27</v>
      </c>
      <c r="J41" s="134"/>
      <c r="K41" s="135">
        <f>+K40*0</f>
        <v>0</v>
      </c>
      <c r="L41" s="135"/>
    </row>
    <row r="42" spans="1:12" ht="3.95" customHeight="1" x14ac:dyDescent="0.2">
      <c r="A42" s="136"/>
      <c r="B42" s="90"/>
      <c r="C42" s="90"/>
      <c r="D42" s="90"/>
      <c r="E42" s="90"/>
      <c r="F42" s="90"/>
      <c r="G42" s="91"/>
      <c r="I42" s="137"/>
      <c r="J42" s="137"/>
    </row>
    <row r="43" spans="1:12" ht="24.95" customHeight="1" x14ac:dyDescent="0.2">
      <c r="A43" s="138"/>
      <c r="B43" s="97"/>
      <c r="C43" s="97"/>
      <c r="D43" s="97"/>
      <c r="E43" s="97"/>
      <c r="F43" s="97"/>
      <c r="G43" s="98"/>
      <c r="I43" s="139" t="s">
        <v>28</v>
      </c>
      <c r="J43" s="139"/>
      <c r="K43" s="140">
        <f>+K40+K41</f>
        <v>680000</v>
      </c>
      <c r="L43" s="141"/>
    </row>
    <row r="44" spans="1:12" ht="3.95" customHeight="1" x14ac:dyDescent="0.2"/>
    <row r="45" spans="1:12" s="107" customFormat="1" ht="15" customHeight="1" x14ac:dyDescent="0.25">
      <c r="A45" s="142" t="s">
        <v>29</v>
      </c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4"/>
    </row>
    <row r="46" spans="1:12" s="107" customFormat="1" ht="15" customHeight="1" x14ac:dyDescent="0.25">
      <c r="A46" s="145" t="s">
        <v>30</v>
      </c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7"/>
    </row>
    <row r="47" spans="1:12" ht="15" customHeight="1" x14ac:dyDescent="0.2">
      <c r="A47" s="148" t="s">
        <v>31</v>
      </c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50"/>
    </row>
    <row r="48" spans="1:12" ht="5.0999999999999996" customHeight="1" x14ac:dyDescent="0.2"/>
    <row r="49" spans="1:12" ht="24.95" hidden="1" customHeight="1" x14ac:dyDescent="0.2">
      <c r="A49" s="151" t="s">
        <v>32</v>
      </c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</row>
  </sheetData>
  <mergeCells count="28">
    <mergeCell ref="A45:L45"/>
    <mergeCell ref="A46:L46"/>
    <mergeCell ref="A47:L47"/>
    <mergeCell ref="A49:L49"/>
    <mergeCell ref="I40:J40"/>
    <mergeCell ref="K40:L40"/>
    <mergeCell ref="I41:J41"/>
    <mergeCell ref="K41:L41"/>
    <mergeCell ref="I43:J43"/>
    <mergeCell ref="K43:L43"/>
    <mergeCell ref="A12:L12"/>
    <mergeCell ref="B13:E13"/>
    <mergeCell ref="G13:I13"/>
    <mergeCell ref="A15:F15"/>
    <mergeCell ref="A16:F16"/>
    <mergeCell ref="A38:G43"/>
    <mergeCell ref="I38:J38"/>
    <mergeCell ref="K38:L38"/>
    <mergeCell ref="I39:J39"/>
    <mergeCell ref="K39:L39"/>
    <mergeCell ref="H1:L1"/>
    <mergeCell ref="A2:F2"/>
    <mergeCell ref="H2:J2"/>
    <mergeCell ref="K2:L2"/>
    <mergeCell ref="D3:F9"/>
    <mergeCell ref="H3:J3"/>
    <mergeCell ref="K3:L3"/>
    <mergeCell ref="H4:L10"/>
  </mergeCells>
  <pageMargins left="0.39370078740157483" right="0.23622047244094491" top="0.39370078740157483" bottom="0.39370078740157483" header="0" footer="0.19685039370078741"/>
  <pageSetup paperSize="9" orientation="portrait" r:id="rId1"/>
  <headerFooter>
    <oddFooter>&amp;L&amp;8Préparée par Manitra&amp;R&amp;"Arial,Gras"&amp;8&amp;D 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base de données client</vt:lpstr>
      <vt:lpstr>base de données article</vt:lpstr>
      <vt:lpstr>proforma</vt:lpstr>
      <vt:lpstr>facture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Léonce Andriamamiony</dc:creator>
  <cp:lastModifiedBy>Léonce Andriamamiony</cp:lastModifiedBy>
  <dcterms:created xsi:type="dcterms:W3CDTF">2026-06-29T07:47:47Z</dcterms:created>
  <dcterms:modified xsi:type="dcterms:W3CDTF">2026-06-29T08:30:06Z</dcterms:modified>
</cp:coreProperties>
</file>